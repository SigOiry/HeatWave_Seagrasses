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efouw\OneDrive - NIOZ\Documenten\Research\NIOZ\1_Rewrite\Data\Aveiro\"/>
    </mc:Choice>
  </mc:AlternateContent>
  <xr:revisionPtr revIDLastSave="0" documentId="13_ncr:1_{FF1591C7-1B3F-4CAB-8BFB-8DD082D5C6E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ata" sheetId="1" r:id="rId1"/>
    <sheet name="cover" sheetId="2" r:id="rId2"/>
    <sheet name="seagrass biomass" sheetId="3" r:id="rId3"/>
  </sheets>
  <definedNames>
    <definedName name="_xlnm._FilterDatabase" localSheetId="0" hidden="1">data!$A$1:$R$107</definedName>
    <definedName name="_xlnm._FilterDatabase" localSheetId="2" hidden="1">'seagrass biomass'!$A$1:$F$1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3" i="1"/>
  <c r="O33" i="1"/>
  <c r="N34" i="1"/>
  <c r="O3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2" i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3" i="3"/>
</calcChain>
</file>

<file path=xl/sharedStrings.xml><?xml version="1.0" encoding="utf-8"?>
<sst xmlns="http://schemas.openxmlformats.org/spreadsheetml/2006/main" count="1353" uniqueCount="428">
  <si>
    <t>type</t>
  </si>
  <si>
    <t>name</t>
  </si>
  <si>
    <t>RG 1</t>
  </si>
  <si>
    <t>RG 2</t>
  </si>
  <si>
    <t>RG 3</t>
  </si>
  <si>
    <t>RG 4</t>
  </si>
  <si>
    <t>RG 5</t>
  </si>
  <si>
    <t>RG 6</t>
  </si>
  <si>
    <t>RG 7</t>
  </si>
  <si>
    <t>RG 8</t>
  </si>
  <si>
    <t>RG 9</t>
  </si>
  <si>
    <t>RG 10</t>
  </si>
  <si>
    <t>RG 11</t>
  </si>
  <si>
    <t>RG 12</t>
  </si>
  <si>
    <t>RG 13</t>
  </si>
  <si>
    <t>RG 14</t>
  </si>
  <si>
    <t>RG 15</t>
  </si>
  <si>
    <t>RG 16</t>
  </si>
  <si>
    <t>RG 17</t>
  </si>
  <si>
    <t>RG 18</t>
  </si>
  <si>
    <t>RG 19</t>
  </si>
  <si>
    <t>RG 20</t>
  </si>
  <si>
    <t>RG 21</t>
  </si>
  <si>
    <t>RG 22</t>
  </si>
  <si>
    <t>RG 23</t>
  </si>
  <si>
    <t>RG 24</t>
  </si>
  <si>
    <t>RG 25</t>
  </si>
  <si>
    <t>RG 26</t>
  </si>
  <si>
    <t>RG 27</t>
  </si>
  <si>
    <t>RG 28</t>
  </si>
  <si>
    <t>RG 29</t>
  </si>
  <si>
    <t>RG 30</t>
  </si>
  <si>
    <t>RG 31</t>
  </si>
  <si>
    <t>RG 32</t>
  </si>
  <si>
    <t>RR 33</t>
  </si>
  <si>
    <t>RR 34</t>
  </si>
  <si>
    <t>RR 35</t>
  </si>
  <si>
    <t>RR 36</t>
  </si>
  <si>
    <t>RR 37</t>
  </si>
  <si>
    <t>RR 38</t>
  </si>
  <si>
    <t>RR 39</t>
  </si>
  <si>
    <t>RR 40</t>
  </si>
  <si>
    <t>RR 41</t>
  </si>
  <si>
    <t>RR 42</t>
  </si>
  <si>
    <t>RR 43</t>
  </si>
  <si>
    <t>RR 44</t>
  </si>
  <si>
    <t>RR 45</t>
  </si>
  <si>
    <t>RR 46</t>
  </si>
  <si>
    <t>RR 47</t>
  </si>
  <si>
    <t>RR 48</t>
  </si>
  <si>
    <t>RR 49</t>
  </si>
  <si>
    <t>RR 50</t>
  </si>
  <si>
    <t>RR 51</t>
  </si>
  <si>
    <t>RR 52</t>
  </si>
  <si>
    <t>RR 53</t>
  </si>
  <si>
    <t>poskey.benthos</t>
  </si>
  <si>
    <t>creek</t>
  </si>
  <si>
    <t>marsh</t>
  </si>
  <si>
    <t>edge bare and seagrass</t>
  </si>
  <si>
    <t>remark</t>
  </si>
  <si>
    <t>sample</t>
  </si>
  <si>
    <t>latitude</t>
  </si>
  <si>
    <t>longitude</t>
  </si>
  <si>
    <t>no</t>
  </si>
  <si>
    <t>NG 1</t>
  </si>
  <si>
    <t>NG 2</t>
  </si>
  <si>
    <t>NG 3</t>
  </si>
  <si>
    <t>NG 4</t>
  </si>
  <si>
    <t>NG 5</t>
  </si>
  <si>
    <t>NG 6</t>
  </si>
  <si>
    <t>NG 7</t>
  </si>
  <si>
    <t>NG 8</t>
  </si>
  <si>
    <t>NG 9</t>
  </si>
  <si>
    <t>NG 10</t>
  </si>
  <si>
    <t>NG 11</t>
  </si>
  <si>
    <t>NG 12</t>
  </si>
  <si>
    <t>NG 13</t>
  </si>
  <si>
    <t>NG 14</t>
  </si>
  <si>
    <t>NG 15</t>
  </si>
  <si>
    <t>NG 16</t>
  </si>
  <si>
    <t>NG 17</t>
  </si>
  <si>
    <t>NG 18</t>
  </si>
  <si>
    <t>NG 19</t>
  </si>
  <si>
    <t>NG 20</t>
  </si>
  <si>
    <t>NG 21</t>
  </si>
  <si>
    <t>NG 22</t>
  </si>
  <si>
    <t>NG 23</t>
  </si>
  <si>
    <t>NG 24</t>
  </si>
  <si>
    <t>NG 25</t>
  </si>
  <si>
    <t>NG 26</t>
  </si>
  <si>
    <t>NG 27</t>
  </si>
  <si>
    <t>NG 28</t>
  </si>
  <si>
    <t>NG 29</t>
  </si>
  <si>
    <t>NG 30</t>
  </si>
  <si>
    <t>NG 31</t>
  </si>
  <si>
    <t>NG 32</t>
  </si>
  <si>
    <t>NR 33</t>
  </si>
  <si>
    <t>NR 34</t>
  </si>
  <si>
    <t>NR 35</t>
  </si>
  <si>
    <t>NR 36</t>
  </si>
  <si>
    <t>NR 37</t>
  </si>
  <si>
    <t>NR 38</t>
  </si>
  <si>
    <t>NR 39</t>
  </si>
  <si>
    <t>NR 40</t>
  </si>
  <si>
    <t>NR 41</t>
  </si>
  <si>
    <t>NR 42</t>
  </si>
  <si>
    <t>NR 43</t>
  </si>
  <si>
    <t>NR 44</t>
  </si>
  <si>
    <t>NR 45</t>
  </si>
  <si>
    <t>NR 46</t>
  </si>
  <si>
    <t>NR 47</t>
  </si>
  <si>
    <t>NR 48</t>
  </si>
  <si>
    <t>NR 49</t>
  </si>
  <si>
    <t>NR 50</t>
  </si>
  <si>
    <t>NR 51</t>
  </si>
  <si>
    <t>NR 52</t>
  </si>
  <si>
    <t>NR 53</t>
  </si>
  <si>
    <t>site</t>
  </si>
  <si>
    <t>rewilded</t>
  </si>
  <si>
    <t>natural</t>
  </si>
  <si>
    <t>grid</t>
  </si>
  <si>
    <t>random</t>
  </si>
  <si>
    <t>spectral camera</t>
  </si>
  <si>
    <t>41-60</t>
  </si>
  <si>
    <t>20-40</t>
  </si>
  <si>
    <t>A1-A20</t>
  </si>
  <si>
    <t>A21-A40</t>
  </si>
  <si>
    <t>A41-A60</t>
  </si>
  <si>
    <t>A61-A50</t>
  </si>
  <si>
    <t>A101-A120</t>
  </si>
  <si>
    <t>A121-A140</t>
  </si>
  <si>
    <t>A141-A160</t>
  </si>
  <si>
    <t>A161-A180</t>
  </si>
  <si>
    <t>A180-A200</t>
  </si>
  <si>
    <t>info spectral cam notes Laurant</t>
  </si>
  <si>
    <t>AVI2 341-360</t>
  </si>
  <si>
    <t>AVI2 381-400</t>
  </si>
  <si>
    <t>AVI2 301-320</t>
  </si>
  <si>
    <t>AVI2 281-300</t>
  </si>
  <si>
    <t>AVI2 261-280</t>
  </si>
  <si>
    <t>AVI2 221-240</t>
  </si>
  <si>
    <t>AVI2 201-220</t>
  </si>
  <si>
    <t>AVI2 321-340</t>
  </si>
  <si>
    <t>AVI2 361-380</t>
  </si>
  <si>
    <t>AVI2 241-260</t>
  </si>
  <si>
    <t>AVI2 401-420</t>
  </si>
  <si>
    <t>sandy</t>
  </si>
  <si>
    <t>skipped, enough data</t>
  </si>
  <si>
    <t>check</t>
  </si>
  <si>
    <t>creek?</t>
  </si>
  <si>
    <t>poskey.sediment</t>
  </si>
  <si>
    <t>picture</t>
  </si>
  <si>
    <t>gesampled door Loran, door Jim gemarkeerd als marsh (verwarring bij wisseling van teams)</t>
  </si>
  <si>
    <t>gesampled door Loran, door Jim gemarkeerd als marsh</t>
  </si>
  <si>
    <t>bestand</t>
  </si>
  <si>
    <t>perc_groen</t>
  </si>
  <si>
    <t>P7150059</t>
  </si>
  <si>
    <t>P7150062</t>
  </si>
  <si>
    <t>P7150063</t>
  </si>
  <si>
    <t>P7150065</t>
  </si>
  <si>
    <t>P7150066</t>
  </si>
  <si>
    <t>P7150067</t>
  </si>
  <si>
    <t>P7150068</t>
  </si>
  <si>
    <t>P7150069</t>
  </si>
  <si>
    <t>P7150070</t>
  </si>
  <si>
    <t>P7150071</t>
  </si>
  <si>
    <t>P7150072</t>
  </si>
  <si>
    <t>P7150073</t>
  </si>
  <si>
    <t>P7150074</t>
  </si>
  <si>
    <t>P7150075</t>
  </si>
  <si>
    <t>P7150076</t>
  </si>
  <si>
    <t>P7150077</t>
  </si>
  <si>
    <t>P7150078</t>
  </si>
  <si>
    <t>P7150079</t>
  </si>
  <si>
    <t>P7150080</t>
  </si>
  <si>
    <t>P7150081</t>
  </si>
  <si>
    <t>P7150082</t>
  </si>
  <si>
    <t>P7150083</t>
  </si>
  <si>
    <t>P7150084</t>
  </si>
  <si>
    <t>P7150085</t>
  </si>
  <si>
    <t>P7150086</t>
  </si>
  <si>
    <t>P7150087</t>
  </si>
  <si>
    <t>P7150088</t>
  </si>
  <si>
    <t>P7150089</t>
  </si>
  <si>
    <t>P7150090</t>
  </si>
  <si>
    <t>P7150091</t>
  </si>
  <si>
    <t>seagrass.cover</t>
  </si>
  <si>
    <t>P7150061</t>
  </si>
  <si>
    <t>P7160092</t>
  </si>
  <si>
    <t>P7160093</t>
  </si>
  <si>
    <t>P7160094</t>
  </si>
  <si>
    <t>P7160095</t>
  </si>
  <si>
    <t>P7160096</t>
  </si>
  <si>
    <t>P7160102</t>
  </si>
  <si>
    <t>P7160103</t>
  </si>
  <si>
    <t>P7160104</t>
  </si>
  <si>
    <t>P7160112</t>
  </si>
  <si>
    <t>P7160113</t>
  </si>
  <si>
    <t>P7170125</t>
  </si>
  <si>
    <t>P7170126</t>
  </si>
  <si>
    <t>P7170127</t>
  </si>
  <si>
    <t>P7170128</t>
  </si>
  <si>
    <t>P7170129</t>
  </si>
  <si>
    <t>P7170152</t>
  </si>
  <si>
    <t>P7170153</t>
  </si>
  <si>
    <t>P7170154</t>
  </si>
  <si>
    <t>P7170155</t>
  </si>
  <si>
    <t>P7170156</t>
  </si>
  <si>
    <t>P7170157</t>
  </si>
  <si>
    <t>P7170158</t>
  </si>
  <si>
    <t>P7170159</t>
  </si>
  <si>
    <t>P7170160</t>
  </si>
  <si>
    <t>P7170161</t>
  </si>
  <si>
    <t>P7170164</t>
  </si>
  <si>
    <t>P7170165</t>
  </si>
  <si>
    <t>P7170166</t>
  </si>
  <si>
    <t>P7170167</t>
  </si>
  <si>
    <t>P7170168</t>
  </si>
  <si>
    <t>P7170169</t>
  </si>
  <si>
    <t>P7170170</t>
  </si>
  <si>
    <t>P7170171</t>
  </si>
  <si>
    <t>P7170172</t>
  </si>
  <si>
    <t>P7170173</t>
  </si>
  <si>
    <t>P7170174</t>
  </si>
  <si>
    <t>P7170176</t>
  </si>
  <si>
    <t>P7170177</t>
  </si>
  <si>
    <t>P7170178</t>
  </si>
  <si>
    <t>P7170179</t>
  </si>
  <si>
    <t>P7170180</t>
  </si>
  <si>
    <t>P7170181</t>
  </si>
  <si>
    <t>P7170182</t>
  </si>
  <si>
    <t>P7170183</t>
  </si>
  <si>
    <t>P7170184</t>
  </si>
  <si>
    <t>P7170185</t>
  </si>
  <si>
    <t>P7170186</t>
  </si>
  <si>
    <t>P7170187</t>
  </si>
  <si>
    <t>P7170188</t>
  </si>
  <si>
    <t>P7170189</t>
  </si>
  <si>
    <t>P7170190</t>
  </si>
  <si>
    <t>P7170191</t>
  </si>
  <si>
    <t>P7170192</t>
  </si>
  <si>
    <t>P7170193</t>
  </si>
  <si>
    <t>P7170194</t>
  </si>
  <si>
    <t>BB.Seagrass</t>
  </si>
  <si>
    <t>Algae</t>
  </si>
  <si>
    <t>Braun-Blanquet-schaal</t>
  </si>
  <si>
    <t>+</t>
  </si>
  <si>
    <t>enkele sprieten (&lt;1%)</t>
  </si>
  <si>
    <t>1–5%</t>
  </si>
  <si>
    <t>5–25%</t>
  </si>
  <si>
    <t>25–50%</t>
  </si>
  <si>
    <t>50–75%</t>
  </si>
  <si>
    <t>75–100%</t>
  </si>
  <si>
    <t>Aveiro 07/2025</t>
  </si>
  <si>
    <t>Oven 48h at 60°C</t>
  </si>
  <si>
    <t>A = Above ground biomass</t>
  </si>
  <si>
    <t>B= Belowground biomass</t>
  </si>
  <si>
    <t>Code</t>
  </si>
  <si>
    <t>dry weight (mg)</t>
  </si>
  <si>
    <t>10A</t>
  </si>
  <si>
    <t>Seagrass leaves and Roots/Rhizomes</t>
  </si>
  <si>
    <t>10B</t>
  </si>
  <si>
    <t>113AN</t>
  </si>
  <si>
    <t>113BN</t>
  </si>
  <si>
    <t>115AN</t>
  </si>
  <si>
    <t>115BN</t>
  </si>
  <si>
    <t>116AN</t>
  </si>
  <si>
    <t>116BN</t>
  </si>
  <si>
    <t>117AN</t>
  </si>
  <si>
    <t>117BN</t>
  </si>
  <si>
    <t>119A</t>
  </si>
  <si>
    <t>119B</t>
  </si>
  <si>
    <t>11A</t>
  </si>
  <si>
    <t>11B</t>
  </si>
  <si>
    <t>120AN</t>
  </si>
  <si>
    <t>120BN</t>
  </si>
  <si>
    <t>121AN</t>
  </si>
  <si>
    <t>empty</t>
  </si>
  <si>
    <t>121BN</t>
  </si>
  <si>
    <t>122AN</t>
  </si>
  <si>
    <t>122BN</t>
  </si>
  <si>
    <t>123AN</t>
  </si>
  <si>
    <t>123BN</t>
  </si>
  <si>
    <t>124AN</t>
  </si>
  <si>
    <t>124BN</t>
  </si>
  <si>
    <t>125AN</t>
  </si>
  <si>
    <t>125BN</t>
  </si>
  <si>
    <t>126AN</t>
  </si>
  <si>
    <t>126BN</t>
  </si>
  <si>
    <t>127AN</t>
  </si>
  <si>
    <t>127BN</t>
  </si>
  <si>
    <t>128AN</t>
  </si>
  <si>
    <t>128BN</t>
  </si>
  <si>
    <t>12A</t>
  </si>
  <si>
    <t>12B</t>
  </si>
  <si>
    <t>130A</t>
  </si>
  <si>
    <t>130BN</t>
  </si>
  <si>
    <t>132AN</t>
  </si>
  <si>
    <t>132BN</t>
  </si>
  <si>
    <t>133AN</t>
  </si>
  <si>
    <t>133BN</t>
  </si>
  <si>
    <t>134AN</t>
  </si>
  <si>
    <t>134BN</t>
  </si>
  <si>
    <t>137AN</t>
  </si>
  <si>
    <t>137BN</t>
  </si>
  <si>
    <t>138AN</t>
  </si>
  <si>
    <t>138BN</t>
  </si>
  <si>
    <t>13A</t>
  </si>
  <si>
    <t>13B</t>
  </si>
  <si>
    <t>140AN</t>
  </si>
  <si>
    <t>140BN</t>
  </si>
  <si>
    <t>141AN</t>
  </si>
  <si>
    <t>141BN</t>
  </si>
  <si>
    <t>142AN</t>
  </si>
  <si>
    <t>142BN</t>
  </si>
  <si>
    <t>148AN</t>
  </si>
  <si>
    <t>148BN</t>
  </si>
  <si>
    <t>149AN</t>
  </si>
  <si>
    <t>149BN</t>
  </si>
  <si>
    <t>14A</t>
  </si>
  <si>
    <t>14B</t>
  </si>
  <si>
    <t>150AN</t>
  </si>
  <si>
    <t>150BN</t>
  </si>
  <si>
    <t>151AN</t>
  </si>
  <si>
    <t>151BN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</si>
  <si>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</si>
  <si>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</si>
  <si>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</si>
  <si>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</si>
  <si>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</si>
  <si>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</si>
  <si>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</si>
  <si>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</si>
  <si>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</si>
  <si>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</si>
  <si>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</si>
  <si>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</si>
  <si>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</si>
  <si>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</si>
  <si>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</si>
  <si>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</si>
  <si>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</si>
  <si>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</si>
  <si>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</si>
  <si>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</si>
  <si>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</si>
  <si>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</si>
  <si>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</si>
  <si>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</si>
  <si>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</si>
  <si>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</si>
  <si>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</si>
  <si>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</si>
  <si>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</si>
  <si>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</si>
  <si>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</si>
  <si>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</si>
  <si>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</si>
  <si>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</si>
  <si>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</si>
  <si>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</si>
  <si>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</si>
  <si>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</si>
  <si>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</si>
  <si>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</si>
  <si>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</si>
  <si>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</si>
  <si>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3A</t>
  </si>
  <si>
    <t>3B</t>
  </si>
  <si>
    <t>40A</t>
  </si>
  <si>
    <t>40B</t>
  </si>
  <si>
    <t>4A</t>
  </si>
  <si>
    <t>4B</t>
  </si>
  <si>
    <t>5A</t>
  </si>
  <si>
    <t>5B</t>
  </si>
  <si>
    <t>6A</t>
  </si>
  <si>
    <t>6B</t>
  </si>
  <si>
    <t>7A</t>
  </si>
  <si>
    <t>7B</t>
  </si>
  <si>
    <t>81A</t>
  </si>
  <si>
    <t>81B</t>
  </si>
  <si>
    <t>82A</t>
  </si>
  <si>
    <t>82B</t>
  </si>
  <si>
    <t>84AN</t>
  </si>
  <si>
    <t>84BN</t>
  </si>
  <si>
    <t>85AN</t>
  </si>
  <si>
    <t>85BN</t>
  </si>
  <si>
    <t>86AN</t>
  </si>
  <si>
    <t>86BN</t>
  </si>
  <si>
    <t>87AN</t>
  </si>
  <si>
    <t>87BN</t>
  </si>
  <si>
    <t>88AN</t>
  </si>
  <si>
    <t>88BN</t>
  </si>
  <si>
    <t>89AN</t>
  </si>
  <si>
    <t>89BN</t>
  </si>
  <si>
    <t>8A</t>
  </si>
  <si>
    <t>8B</t>
  </si>
  <si>
    <t>91AN</t>
  </si>
  <si>
    <t>91BN</t>
  </si>
  <si>
    <t>92AN</t>
  </si>
  <si>
    <t>92BN</t>
  </si>
  <si>
    <t>93AN</t>
  </si>
  <si>
    <t>93BN</t>
  </si>
  <si>
    <t>9A</t>
  </si>
  <si>
    <t>9B</t>
  </si>
  <si>
    <t>AB</t>
  </si>
  <si>
    <t>A</t>
  </si>
  <si>
    <t>B</t>
  </si>
  <si>
    <t>Rijlabels</t>
  </si>
  <si>
    <t>(leeg)</t>
  </si>
  <si>
    <t>Eindtotaal</t>
  </si>
  <si>
    <t>Kolomlabels</t>
  </si>
  <si>
    <t>Gemiddelde van dry weight (mg)</t>
  </si>
  <si>
    <t>totalAB</t>
  </si>
  <si>
    <t>seagrassA</t>
  </si>
  <si>
    <t>seagrassB</t>
  </si>
  <si>
    <t>algae.cover</t>
  </si>
  <si>
    <t>poskey</t>
  </si>
  <si>
    <t>teller</t>
  </si>
  <si>
    <t>on picture no seagrass</t>
  </si>
  <si>
    <t>yes</t>
  </si>
  <si>
    <t>bare</t>
  </si>
  <si>
    <t>algae</t>
  </si>
  <si>
    <t>seagrass.heatwave</t>
  </si>
  <si>
    <t>habitat</t>
  </si>
  <si>
    <t>seagrass</t>
  </si>
  <si>
    <t>seagrass.cover.Laurent</t>
  </si>
  <si>
    <t>Laurent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</si>
</sst>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Liberation Sans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u/>
      <sz val="11"/>
      <color rgb="FF000000"/>
      <name val="Liberation Sans"/>
    </font>
    <font>
      <b/>
      <sz val="11"/>
      <color rgb="FF000000"/>
      <name val="Liberation Sans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Border="0" applyProtection="0">
      <alignment horizontal="center"/>
    </xf>
    <xf numFmtId="0" fontId="4" fillId="0" borderId="0" applyNumberFormat="0" applyBorder="0" applyProtection="0">
      <alignment horizontal="center" textRotation="90"/>
    </xf>
    <xf numFmtId="0" fontId="5" fillId="0" borderId="0" applyNumberFormat="0" applyBorder="0" applyProtection="0"/>
    <xf numFmtId="164" fontId="5" fillId="0" borderId="0" applyBorder="0" applyProtection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1" fillId="0" borderId="0" xfId="0" applyNumberFormat="1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0" borderId="0" xfId="0" pivotButton="1" applyAlignment="1">
      <alignment horizontal="left"/>
    </xf>
    <xf numFmtId="0" fontId="6" fillId="0" borderId="0" xfId="1" applyFont="1" applyAlignment="1">
      <alignment horizontal="left"/>
    </xf>
    <xf numFmtId="0" fontId="3" fillId="0" borderId="0" xfId="1" applyAlignment="1">
      <alignment horizontal="left"/>
    </xf>
    <xf numFmtId="0" fontId="7" fillId="0" borderId="0" xfId="1" applyFont="1" applyAlignment="1">
      <alignment horizontal="left"/>
    </xf>
    <xf numFmtId="0" fontId="3" fillId="0" borderId="1" xfId="1" applyBorder="1" applyAlignment="1">
      <alignment horizontal="left"/>
    </xf>
    <xf numFmtId="0" fontId="0" fillId="2" borderId="0" xfId="0" applyFill="1" applyAlignment="1">
      <alignment horizontal="left"/>
    </xf>
    <xf numFmtId="0" fontId="9" fillId="0" borderId="0" xfId="0" applyFont="1"/>
    <xf numFmtId="3" fontId="9" fillId="0" borderId="0" xfId="0" applyNumberFormat="1" applyFont="1"/>
  </cellXfs>
  <cellStyles count="6">
    <cellStyle name="Heading" xfId="2" xr:uid="{C3BF4837-8238-451A-9F43-C45BE234F655}"/>
    <cellStyle name="Heading1" xfId="3" xr:uid="{27EA53AD-3A81-4188-B251-8EC083B37A6B}"/>
    <cellStyle name="Normal" xfId="0" builtinId="0"/>
    <cellStyle name="Result" xfId="4" xr:uid="{BF450080-4396-4D21-9F77-0A4CD9C55119}"/>
    <cellStyle name="Result2" xfId="5" xr:uid="{AA1EA9A6-7DDA-47EB-8102-3C9BA9DF5CE3}"/>
    <cellStyle name="Standaard 2" xfId="1" xr:uid="{60181DCC-36DD-4550-8735-D0AD608CB25F}"/>
  </cellStyles>
  <dxfs count="11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 de Fouw" refreshedDate="45891.470895138889" createdVersion="8" refreshedVersion="8" minRefreshableVersion="3" recordCount="157" xr:uid="{F1E11D45-1A58-4FDC-B37B-E5360D53161C}">
  <cacheSource type="worksheet">
    <worksheetSource ref="B1:E1048576" sheet="seagrass biomass"/>
  </cacheSource>
  <cacheFields count="4">
    <cacheField name="Code" numFmtId="0">
      <sharedItems containsBlank="1"/>
    </cacheField>
    <cacheField name="poskey" numFmtId="0">
      <sharedItems containsString="0" containsBlank="1" containsNumber="1" containsInteger="1" minValue="2025001" maxValue="2025151" count="79">
        <n v="2025010"/>
        <n v="2025113"/>
        <n v="2025115"/>
        <n v="2025116"/>
        <n v="2025117"/>
        <n v="2025119"/>
        <n v="2025011"/>
        <n v="2025120"/>
        <n v="2025121"/>
        <n v="2025122"/>
        <n v="2025123"/>
        <n v="2025124"/>
        <n v="2025125"/>
        <n v="2025126"/>
        <n v="2025127"/>
        <n v="2025128"/>
        <n v="2025012"/>
        <n v="2025130"/>
        <n v="2025132"/>
        <n v="2025133"/>
        <n v="2025134"/>
        <n v="2025137"/>
        <n v="2025138"/>
        <n v="2025013"/>
        <n v="2025140"/>
        <n v="2025141"/>
        <n v="2025142"/>
        <n v="2025148"/>
        <n v="2025149"/>
        <n v="2025014"/>
        <n v="2025150"/>
        <n v="2025151"/>
        <n v="2025015"/>
        <n v="2025016"/>
        <n v="2025017"/>
        <n v="2025018"/>
        <n v="2025019"/>
        <n v="2025021"/>
        <n v="2025022"/>
        <n v="2025023"/>
        <n v="2025024"/>
        <n v="2025025"/>
        <n v="2025026"/>
        <n v="2025027"/>
        <n v="2025028"/>
        <n v="2025029"/>
        <n v="2025030"/>
        <n v="2025031"/>
        <n v="2025034"/>
        <n v="2025035"/>
        <n v="2025036"/>
        <n v="2025037"/>
        <n v="2025038"/>
        <n v="2025003"/>
        <n v="2025040"/>
        <n v="2025004"/>
        <n v="2025005"/>
        <n v="2025006"/>
        <n v="2025007"/>
        <n v="2025081"/>
        <n v="2025082"/>
        <n v="2025084"/>
        <n v="2025085"/>
        <n v="2025086"/>
        <n v="2025087"/>
        <n v="2025088"/>
        <n v="2025089"/>
        <n v="2025008"/>
        <n v="2025091"/>
        <n v="2025092"/>
        <n v="2025093"/>
        <n v="2025009"/>
        <n v="2025032"/>
        <n v="2025033"/>
        <n v="2025001"/>
        <n v="2025002"/>
        <n v="2025020"/>
        <n v="2025039"/>
        <m/>
      </sharedItems>
    </cacheField>
    <cacheField name="AB" numFmtId="0">
      <sharedItems containsBlank="1" count="3">
        <s v="A"/>
        <s v="B"/>
        <m/>
      </sharedItems>
    </cacheField>
    <cacheField name="dry weight (mg)" numFmtId="0">
      <sharedItems containsString="0" containsBlank="1" containsNumber="1" containsInteger="1" minValue="0" maxValue="39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10A"/>
    <x v="0"/>
    <x v="0"/>
    <n v="2797"/>
  </r>
  <r>
    <s v="10B"/>
    <x v="0"/>
    <x v="1"/>
    <n v="1048"/>
  </r>
  <r>
    <s v="113AN"/>
    <x v="1"/>
    <x v="0"/>
    <n v="1876"/>
  </r>
  <r>
    <s v="113BN"/>
    <x v="1"/>
    <x v="1"/>
    <n v="608"/>
  </r>
  <r>
    <s v="115AN"/>
    <x v="2"/>
    <x v="0"/>
    <n v="3982"/>
  </r>
  <r>
    <s v="115BN"/>
    <x v="2"/>
    <x v="1"/>
    <n v="2080"/>
  </r>
  <r>
    <s v="116AN"/>
    <x v="3"/>
    <x v="0"/>
    <n v="3531"/>
  </r>
  <r>
    <s v="116BN"/>
    <x v="3"/>
    <x v="1"/>
    <n v="2364"/>
  </r>
  <r>
    <s v="117AN"/>
    <x v="4"/>
    <x v="0"/>
    <n v="750"/>
  </r>
  <r>
    <s v="117BN"/>
    <x v="4"/>
    <x v="1"/>
    <n v="345"/>
  </r>
  <r>
    <s v="119A"/>
    <x v="5"/>
    <x v="0"/>
    <n v="754"/>
  </r>
  <r>
    <s v="119B"/>
    <x v="5"/>
    <x v="1"/>
    <n v="582"/>
  </r>
  <r>
    <s v="11A"/>
    <x v="6"/>
    <x v="0"/>
    <n v="3628"/>
  </r>
  <r>
    <s v="11B"/>
    <x v="6"/>
    <x v="1"/>
    <n v="977"/>
  </r>
  <r>
    <s v="120AN"/>
    <x v="7"/>
    <x v="0"/>
    <n v="12"/>
  </r>
  <r>
    <s v="120BN"/>
    <x v="7"/>
    <x v="1"/>
    <n v="118"/>
  </r>
  <r>
    <s v="121AN"/>
    <x v="8"/>
    <x v="0"/>
    <n v="0"/>
  </r>
  <r>
    <s v="121BN"/>
    <x v="8"/>
    <x v="1"/>
    <n v="0"/>
  </r>
  <r>
    <s v="122AN"/>
    <x v="9"/>
    <x v="0"/>
    <n v="2650"/>
  </r>
  <r>
    <s v="122BN"/>
    <x v="9"/>
    <x v="1"/>
    <n v="1147"/>
  </r>
  <r>
    <s v="123AN"/>
    <x v="10"/>
    <x v="0"/>
    <n v="0"/>
  </r>
  <r>
    <s v="123BN"/>
    <x v="10"/>
    <x v="1"/>
    <n v="0"/>
  </r>
  <r>
    <s v="124AN"/>
    <x v="11"/>
    <x v="0"/>
    <n v="2564"/>
  </r>
  <r>
    <s v="124BN"/>
    <x v="11"/>
    <x v="1"/>
    <n v="2102"/>
  </r>
  <r>
    <s v="125AN"/>
    <x v="12"/>
    <x v="0"/>
    <n v="1891"/>
  </r>
  <r>
    <s v="125BN"/>
    <x v="12"/>
    <x v="1"/>
    <n v="891"/>
  </r>
  <r>
    <s v="126AN"/>
    <x v="13"/>
    <x v="0"/>
    <n v="2057"/>
  </r>
  <r>
    <s v="126BN"/>
    <x v="13"/>
    <x v="1"/>
    <n v="1686"/>
  </r>
  <r>
    <s v="127AN"/>
    <x v="14"/>
    <x v="0"/>
    <n v="926"/>
  </r>
  <r>
    <s v="127BN"/>
    <x v="14"/>
    <x v="1"/>
    <n v="1187"/>
  </r>
  <r>
    <s v="128AN"/>
    <x v="15"/>
    <x v="0"/>
    <n v="2434"/>
  </r>
  <r>
    <s v="128BN"/>
    <x v="15"/>
    <x v="1"/>
    <n v="1076"/>
  </r>
  <r>
    <s v="12A"/>
    <x v="16"/>
    <x v="0"/>
    <n v="0"/>
  </r>
  <r>
    <s v="12B"/>
    <x v="16"/>
    <x v="1"/>
    <n v="0"/>
  </r>
  <r>
    <s v="130A"/>
    <x v="17"/>
    <x v="0"/>
    <n v="0"/>
  </r>
  <r>
    <s v="130BN"/>
    <x v="17"/>
    <x v="1"/>
    <n v="125"/>
  </r>
  <r>
    <s v="132AN"/>
    <x v="18"/>
    <x v="0"/>
    <n v="821"/>
  </r>
  <r>
    <s v="132BN"/>
    <x v="18"/>
    <x v="1"/>
    <n v="561"/>
  </r>
  <r>
    <s v="133AN"/>
    <x v="19"/>
    <x v="0"/>
    <n v="951"/>
  </r>
  <r>
    <s v="133BN"/>
    <x v="19"/>
    <x v="1"/>
    <n v="578"/>
  </r>
  <r>
    <s v="134AN"/>
    <x v="20"/>
    <x v="0"/>
    <n v="12"/>
  </r>
  <r>
    <s v="134BN"/>
    <x v="20"/>
    <x v="1"/>
    <n v="0"/>
  </r>
  <r>
    <s v="137AN"/>
    <x v="21"/>
    <x v="0"/>
    <n v="1476"/>
  </r>
  <r>
    <s v="137BN"/>
    <x v="21"/>
    <x v="1"/>
    <n v="1194"/>
  </r>
  <r>
    <s v="138AN"/>
    <x v="22"/>
    <x v="0"/>
    <n v="1220"/>
  </r>
  <r>
    <s v="138BN"/>
    <x v="22"/>
    <x v="1"/>
    <n v="2529"/>
  </r>
  <r>
    <s v="13A"/>
    <x v="23"/>
    <x v="0"/>
    <n v="1701"/>
  </r>
  <r>
    <s v="13B"/>
    <x v="23"/>
    <x v="1"/>
    <n v="1821"/>
  </r>
  <r>
    <s v="140AN"/>
    <x v="24"/>
    <x v="0"/>
    <n v="1415"/>
  </r>
  <r>
    <s v="140BN"/>
    <x v="24"/>
    <x v="1"/>
    <n v="833"/>
  </r>
  <r>
    <s v="141AN"/>
    <x v="25"/>
    <x v="0"/>
    <n v="1552"/>
  </r>
  <r>
    <s v="141BN"/>
    <x v="25"/>
    <x v="1"/>
    <n v="561"/>
  </r>
  <r>
    <s v="142AN"/>
    <x v="26"/>
    <x v="0"/>
    <n v="2799"/>
  </r>
  <r>
    <s v="142BN"/>
    <x v="26"/>
    <x v="1"/>
    <n v="1299"/>
  </r>
  <r>
    <s v="148AN"/>
    <x v="27"/>
    <x v="0"/>
    <n v="392"/>
  </r>
  <r>
    <s v="148BN"/>
    <x v="27"/>
    <x v="1"/>
    <n v="156"/>
  </r>
  <r>
    <s v="149AN"/>
    <x v="28"/>
    <x v="0"/>
    <n v="465"/>
  </r>
  <r>
    <s v="149BN"/>
    <x v="28"/>
    <x v="1"/>
    <n v="1025"/>
  </r>
  <r>
    <s v="14A"/>
    <x v="29"/>
    <x v="0"/>
    <n v="0"/>
  </r>
  <r>
    <s v="14B"/>
    <x v="29"/>
    <x v="1"/>
    <n v="0"/>
  </r>
  <r>
    <s v="150AN"/>
    <x v="30"/>
    <x v="0"/>
    <n v="931"/>
  </r>
  <r>
    <s v="150BN"/>
    <x v="30"/>
    <x v="1"/>
    <n v="712"/>
  </r>
  <r>
    <s v="151AN"/>
    <x v="31"/>
    <x v="0"/>
    <n v="510"/>
  </r>
  <r>
    <s v="151BN"/>
    <x v="31"/>
    <x v="1"/>
    <n v="557"/>
  </r>
  <r>
    <s v="15A"/>
    <x v="32"/>
    <x v="0"/>
    <n v="31"/>
  </r>
  <r>
    <s v="15B"/>
    <x v="32"/>
    <x v="1"/>
    <n v="189"/>
  </r>
  <r>
    <s v="16A"/>
    <x v="33"/>
    <x v="0"/>
    <n v="977"/>
  </r>
  <r>
    <s v="16B"/>
    <x v="33"/>
    <x v="1"/>
    <n v="401"/>
  </r>
  <r>
    <s v="17A"/>
    <x v="34"/>
    <x v="0"/>
    <n v="994"/>
  </r>
  <r>
    <s v="17B"/>
    <x v="34"/>
    <x v="1"/>
    <n v="343"/>
  </r>
  <r>
    <s v="18A"/>
    <x v="35"/>
    <x v="0"/>
    <n v="2523"/>
  </r>
  <r>
    <s v="18B"/>
    <x v="35"/>
    <x v="1"/>
    <n v="1219"/>
  </r>
  <r>
    <s v="19A"/>
    <x v="36"/>
    <x v="0"/>
    <n v="2695"/>
  </r>
  <r>
    <s v="19B"/>
    <x v="36"/>
    <x v="1"/>
    <n v="1160"/>
  </r>
  <r>
    <s v="21A"/>
    <x v="37"/>
    <x v="0"/>
    <n v="933"/>
  </r>
  <r>
    <s v="21B"/>
    <x v="37"/>
    <x v="1"/>
    <n v="750"/>
  </r>
  <r>
    <s v="22A"/>
    <x v="38"/>
    <x v="0"/>
    <n v="85"/>
  </r>
  <r>
    <s v="22B"/>
    <x v="38"/>
    <x v="1"/>
    <n v="719"/>
  </r>
  <r>
    <s v="23A"/>
    <x v="39"/>
    <x v="0"/>
    <n v="2790"/>
  </r>
  <r>
    <s v="23B"/>
    <x v="39"/>
    <x v="1"/>
    <n v="888"/>
  </r>
  <r>
    <s v="24A"/>
    <x v="40"/>
    <x v="0"/>
    <n v="2113"/>
  </r>
  <r>
    <s v="24B"/>
    <x v="40"/>
    <x v="1"/>
    <n v="675"/>
  </r>
  <r>
    <s v="25A"/>
    <x v="41"/>
    <x v="0"/>
    <n v="2237"/>
  </r>
  <r>
    <s v="25B"/>
    <x v="41"/>
    <x v="1"/>
    <n v="951"/>
  </r>
  <r>
    <s v="26A"/>
    <x v="42"/>
    <x v="0"/>
    <n v="0"/>
  </r>
  <r>
    <s v="26B"/>
    <x v="42"/>
    <x v="1"/>
    <n v="0"/>
  </r>
  <r>
    <s v="27A"/>
    <x v="43"/>
    <x v="0"/>
    <n v="39"/>
  </r>
  <r>
    <s v="27B"/>
    <x v="43"/>
    <x v="1"/>
    <n v="161"/>
  </r>
  <r>
    <s v="28A"/>
    <x v="44"/>
    <x v="0"/>
    <n v="2715"/>
  </r>
  <r>
    <s v="28B"/>
    <x v="44"/>
    <x v="1"/>
    <n v="1696"/>
  </r>
  <r>
    <s v="29A"/>
    <x v="45"/>
    <x v="0"/>
    <n v="1294"/>
  </r>
  <r>
    <s v="29B"/>
    <x v="45"/>
    <x v="1"/>
    <n v="454"/>
  </r>
  <r>
    <s v="30A"/>
    <x v="46"/>
    <x v="0"/>
    <n v="228"/>
  </r>
  <r>
    <s v="30B"/>
    <x v="46"/>
    <x v="1"/>
    <n v="191"/>
  </r>
  <r>
    <s v="31A"/>
    <x v="47"/>
    <x v="0"/>
    <n v="0"/>
  </r>
  <r>
    <s v="31B"/>
    <x v="47"/>
    <x v="1"/>
    <n v="0"/>
  </r>
  <r>
    <s v="34A"/>
    <x v="48"/>
    <x v="0"/>
    <n v="0"/>
  </r>
  <r>
    <s v="34B"/>
    <x v="48"/>
    <x v="1"/>
    <n v="0"/>
  </r>
  <r>
    <s v="35A"/>
    <x v="49"/>
    <x v="0"/>
    <n v="209"/>
  </r>
  <r>
    <s v="35B"/>
    <x v="49"/>
    <x v="1"/>
    <n v="248"/>
  </r>
  <r>
    <s v="36A"/>
    <x v="50"/>
    <x v="0"/>
    <n v="645"/>
  </r>
  <r>
    <s v="36B"/>
    <x v="50"/>
    <x v="1"/>
    <n v="607"/>
  </r>
  <r>
    <s v="37A"/>
    <x v="51"/>
    <x v="0"/>
    <n v="1871"/>
  </r>
  <r>
    <s v="37B"/>
    <x v="51"/>
    <x v="1"/>
    <n v="1585"/>
  </r>
  <r>
    <s v="38A"/>
    <x v="52"/>
    <x v="0"/>
    <n v="1642"/>
  </r>
  <r>
    <s v="38B"/>
    <x v="52"/>
    <x v="1"/>
    <n v="1381"/>
  </r>
  <r>
    <s v="3A"/>
    <x v="53"/>
    <x v="0"/>
    <n v="315"/>
  </r>
  <r>
    <s v="3B"/>
    <x v="53"/>
    <x v="1"/>
    <n v="250"/>
  </r>
  <r>
    <s v="40A"/>
    <x v="54"/>
    <x v="0"/>
    <n v="0"/>
  </r>
  <r>
    <s v="40B"/>
    <x v="54"/>
    <x v="1"/>
    <n v="0"/>
  </r>
  <r>
    <s v="4A"/>
    <x v="55"/>
    <x v="0"/>
    <n v="42"/>
  </r>
  <r>
    <s v="4B"/>
    <x v="55"/>
    <x v="1"/>
    <n v="141"/>
  </r>
  <r>
    <s v="5A"/>
    <x v="56"/>
    <x v="0"/>
    <n v="2222"/>
  </r>
  <r>
    <s v="5B"/>
    <x v="56"/>
    <x v="1"/>
    <n v="939"/>
  </r>
  <r>
    <s v="6A"/>
    <x v="57"/>
    <x v="0"/>
    <n v="17"/>
  </r>
  <r>
    <s v="6B"/>
    <x v="57"/>
    <x v="1"/>
    <n v="0"/>
  </r>
  <r>
    <s v="7A"/>
    <x v="58"/>
    <x v="0"/>
    <n v="0"/>
  </r>
  <r>
    <s v="7B"/>
    <x v="58"/>
    <x v="1"/>
    <n v="0"/>
  </r>
  <r>
    <s v="81A"/>
    <x v="59"/>
    <x v="0"/>
    <n v="2745"/>
  </r>
  <r>
    <s v="81B"/>
    <x v="59"/>
    <x v="1"/>
    <n v="1244"/>
  </r>
  <r>
    <s v="82A"/>
    <x v="60"/>
    <x v="0"/>
    <n v="400"/>
  </r>
  <r>
    <s v="82B"/>
    <x v="60"/>
    <x v="1"/>
    <n v="338"/>
  </r>
  <r>
    <s v="84AN"/>
    <x v="61"/>
    <x v="0"/>
    <n v="1514"/>
  </r>
  <r>
    <s v="84BN"/>
    <x v="61"/>
    <x v="1"/>
    <n v="556"/>
  </r>
  <r>
    <s v="85AN"/>
    <x v="62"/>
    <x v="0"/>
    <n v="2566"/>
  </r>
  <r>
    <s v="85BN"/>
    <x v="62"/>
    <x v="1"/>
    <n v="1512"/>
  </r>
  <r>
    <s v="86AN"/>
    <x v="63"/>
    <x v="0"/>
    <n v="3538"/>
  </r>
  <r>
    <s v="86BN"/>
    <x v="63"/>
    <x v="1"/>
    <n v="2263"/>
  </r>
  <r>
    <s v="87AN"/>
    <x v="64"/>
    <x v="0"/>
    <n v="1780"/>
  </r>
  <r>
    <s v="87BN"/>
    <x v="64"/>
    <x v="1"/>
    <n v="1728"/>
  </r>
  <r>
    <s v="88AN"/>
    <x v="65"/>
    <x v="0"/>
    <n v="3113"/>
  </r>
  <r>
    <s v="88BN"/>
    <x v="65"/>
    <x v="1"/>
    <n v="899"/>
  </r>
  <r>
    <s v="89AN"/>
    <x v="66"/>
    <x v="0"/>
    <n v="857"/>
  </r>
  <r>
    <s v="89BN"/>
    <x v="66"/>
    <x v="1"/>
    <n v="705"/>
  </r>
  <r>
    <s v="8A"/>
    <x v="67"/>
    <x v="0"/>
    <n v="2418"/>
  </r>
  <r>
    <s v="8B"/>
    <x v="67"/>
    <x v="1"/>
    <n v="1706"/>
  </r>
  <r>
    <s v="91AN"/>
    <x v="68"/>
    <x v="0"/>
    <n v="1230"/>
  </r>
  <r>
    <s v="91BN"/>
    <x v="68"/>
    <x v="1"/>
    <n v="990"/>
  </r>
  <r>
    <s v="92AN"/>
    <x v="69"/>
    <x v="0"/>
    <n v="992"/>
  </r>
  <r>
    <s v="92BN"/>
    <x v="69"/>
    <x v="1"/>
    <n v="377"/>
  </r>
  <r>
    <s v="93AN"/>
    <x v="70"/>
    <x v="0"/>
    <n v="1076"/>
  </r>
  <r>
    <s v="93BN"/>
    <x v="70"/>
    <x v="1"/>
    <n v="803"/>
  </r>
  <r>
    <s v="9A"/>
    <x v="71"/>
    <x v="0"/>
    <n v="1377"/>
  </r>
  <r>
    <s v="9B"/>
    <x v="71"/>
    <x v="1"/>
    <n v="1864"/>
  </r>
  <r>
    <m/>
    <x v="72"/>
    <x v="0"/>
    <n v="0"/>
  </r>
  <r>
    <m/>
    <x v="72"/>
    <x v="1"/>
    <n v="0"/>
  </r>
  <r>
    <m/>
    <x v="73"/>
    <x v="0"/>
    <n v="0"/>
  </r>
  <r>
    <m/>
    <x v="73"/>
    <x v="1"/>
    <n v="0"/>
  </r>
  <r>
    <m/>
    <x v="74"/>
    <x v="0"/>
    <n v="0"/>
  </r>
  <r>
    <m/>
    <x v="74"/>
    <x v="1"/>
    <n v="0"/>
  </r>
  <r>
    <m/>
    <x v="75"/>
    <x v="0"/>
    <n v="0"/>
  </r>
  <r>
    <m/>
    <x v="75"/>
    <x v="1"/>
    <n v="0"/>
  </r>
  <r>
    <m/>
    <x v="76"/>
    <x v="0"/>
    <n v="0"/>
  </r>
  <r>
    <m/>
    <x v="76"/>
    <x v="1"/>
    <n v="0"/>
  </r>
  <r>
    <m/>
    <x v="77"/>
    <x v="0"/>
    <n v="0"/>
  </r>
  <r>
    <m/>
    <x v="77"/>
    <x v="1"/>
    <n v="0"/>
  </r>
  <r>
    <m/>
    <x v="78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7D528-D861-4B64-AC95-A0A3C3AC63F4}" name="Draaitabel1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G1:K82" firstHeaderRow="1" firstDataRow="2" firstDataCol="1"/>
  <pivotFields count="4">
    <pivotField showAll="0"/>
    <pivotField axis="axisRow" showAll="0">
      <items count="80">
        <item x="53"/>
        <item x="55"/>
        <item x="56"/>
        <item x="57"/>
        <item x="58"/>
        <item x="67"/>
        <item x="71"/>
        <item x="0"/>
        <item x="6"/>
        <item x="16"/>
        <item x="23"/>
        <item x="29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9"/>
        <item x="60"/>
        <item x="61"/>
        <item x="62"/>
        <item x="63"/>
        <item x="64"/>
        <item x="65"/>
        <item x="66"/>
        <item x="68"/>
        <item x="69"/>
        <item x="7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4"/>
        <item x="25"/>
        <item x="26"/>
        <item x="27"/>
        <item x="28"/>
        <item x="30"/>
        <item x="31"/>
        <item x="78"/>
        <item x="72"/>
        <item x="73"/>
        <item x="74"/>
        <item x="75"/>
        <item x="76"/>
        <item x="77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Gemiddelde van dry weight (mg)" fld="3" subtotal="average" baseField="1" baseItem="62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5"/>
  <cols>
    <col min="1" max="5" width="8.7265625" style="2"/>
    <col min="6" max="7" width="15.6328125" style="2" customWidth="1"/>
    <col min="8" max="8" width="17.08984375" style="2" customWidth="1"/>
    <col min="9" max="9" width="12.81640625" style="2" customWidth="1"/>
    <col min="10" max="10" width="11.81640625" style="2" customWidth="1"/>
    <col min="11" max="13" width="13.26953125" style="8" customWidth="1"/>
    <col min="14" max="15" width="15.453125" style="8" customWidth="1"/>
    <col min="16" max="16" width="21.453125" style="2" customWidth="1"/>
    <col min="17" max="17" width="16" style="2" customWidth="1"/>
    <col min="18" max="18" width="27.54296875" style="2" customWidth="1"/>
    <col min="19" max="19" width="15.81640625" style="2" customWidth="1"/>
    <col min="20" max="16384" width="8.7265625" style="2"/>
  </cols>
  <sheetData>
    <row r="1" spans="1:18" s="1" customFormat="1">
      <c r="A1" s="1" t="s">
        <v>0</v>
      </c>
      <c r="B1" s="1" t="s">
        <v>1</v>
      </c>
      <c r="C1" s="1" t="s">
        <v>117</v>
      </c>
      <c r="D1" s="1" t="s">
        <v>62</v>
      </c>
      <c r="E1" s="1" t="s">
        <v>61</v>
      </c>
      <c r="F1" s="1" t="s">
        <v>55</v>
      </c>
      <c r="G1" s="1" t="s">
        <v>150</v>
      </c>
      <c r="H1" s="1" t="s">
        <v>151</v>
      </c>
      <c r="I1" s="1" t="s">
        <v>423</v>
      </c>
      <c r="J1" s="1" t="s">
        <v>60</v>
      </c>
      <c r="K1" s="4" t="s">
        <v>186</v>
      </c>
      <c r="L1" s="4" t="s">
        <v>416</v>
      </c>
      <c r="M1" s="4" t="s">
        <v>424</v>
      </c>
      <c r="N1" s="4" t="s">
        <v>414</v>
      </c>
      <c r="O1" s="4" t="s">
        <v>415</v>
      </c>
      <c r="P1" s="1" t="s">
        <v>426</v>
      </c>
      <c r="Q1" s="1" t="s">
        <v>122</v>
      </c>
      <c r="R1" s="1" t="s">
        <v>59</v>
      </c>
    </row>
    <row r="2" spans="1:18">
      <c r="A2" s="2" t="s">
        <v>120</v>
      </c>
      <c r="B2" s="2" t="s">
        <v>26</v>
      </c>
      <c r="C2" s="2" t="s">
        <v>118</v>
      </c>
      <c r="D2" s="2">
        <v>-8.6904504492988384</v>
      </c>
      <c r="E2" s="2">
        <v>40.672105768584252</v>
      </c>
      <c r="F2" s="2">
        <v>2025001</v>
      </c>
      <c r="H2" s="2" t="s">
        <v>156</v>
      </c>
      <c r="I2" s="2" t="s">
        <v>422</v>
      </c>
      <c r="J2" s="2" t="s">
        <v>60</v>
      </c>
      <c r="K2" s="8" t="str">
        <f>VLOOKUP(data!H2,cover!$A:$D,3,FALSE)</f>
        <v>+</v>
      </c>
      <c r="L2" s="8">
        <f>VLOOKUP(data!H2,cover!$A:$D,4,FALSE)</f>
        <v>4</v>
      </c>
      <c r="M2" s="8" t="s">
        <v>422</v>
      </c>
      <c r="N2" s="8">
        <f>VLOOKUP($F2,'seagrass biomass'!$G:$L,2,FALSE)</f>
        <v>0</v>
      </c>
      <c r="O2" s="8">
        <f>VLOOKUP($F2,'seagrass biomass'!$G:$L,3,FALSE)</f>
        <v>0</v>
      </c>
    </row>
    <row r="3" spans="1:18">
      <c r="A3" s="2" t="s">
        <v>121</v>
      </c>
      <c r="B3" s="2" t="s">
        <v>48</v>
      </c>
      <c r="C3" s="2" t="s">
        <v>118</v>
      </c>
      <c r="D3" s="2">
        <v>-8.6905031982786536</v>
      </c>
      <c r="E3" s="2">
        <v>40.672359702115187</v>
      </c>
      <c r="F3" s="2">
        <v>2025002</v>
      </c>
      <c r="H3" s="2" t="s">
        <v>187</v>
      </c>
      <c r="I3" s="2" t="s">
        <v>63</v>
      </c>
      <c r="J3" s="2" t="s">
        <v>60</v>
      </c>
      <c r="K3" s="8">
        <f>VLOOKUP(data!H3,cover!$A:$D,3,FALSE)</f>
        <v>1</v>
      </c>
      <c r="L3" s="8">
        <f>VLOOKUP(data!H3,cover!$A:$D,4,FALSE)</f>
        <v>2</v>
      </c>
      <c r="M3" s="8" t="s">
        <v>425</v>
      </c>
      <c r="N3" s="8">
        <f>VLOOKUP($F3,'seagrass biomass'!$G:$L,2,FALSE)</f>
        <v>0</v>
      </c>
      <c r="O3" s="8">
        <f>VLOOKUP($F3,'seagrass biomass'!$G:$L,3,FALSE)</f>
        <v>0</v>
      </c>
    </row>
    <row r="4" spans="1:18">
      <c r="A4" s="2" t="s">
        <v>120</v>
      </c>
      <c r="B4" s="2" t="s">
        <v>18</v>
      </c>
      <c r="C4" s="2" t="s">
        <v>118</v>
      </c>
      <c r="D4" s="2">
        <v>-8.6909022956039852</v>
      </c>
      <c r="E4" s="2">
        <v>40.672396514158152</v>
      </c>
      <c r="F4" s="2">
        <v>2025003</v>
      </c>
      <c r="H4" s="2" t="s">
        <v>157</v>
      </c>
      <c r="I4" s="2" t="s">
        <v>63</v>
      </c>
      <c r="J4" s="2" t="s">
        <v>60</v>
      </c>
      <c r="K4" s="8">
        <f>VLOOKUP(data!H4,cover!$A:$D,3,FALSE)</f>
        <v>4</v>
      </c>
      <c r="L4" s="8">
        <f>VLOOKUP(data!H4,cover!$A:$D,4,FALSE)</f>
        <v>2</v>
      </c>
      <c r="M4" s="8" t="s">
        <v>425</v>
      </c>
      <c r="N4" s="8">
        <f>VLOOKUP($F4,'seagrass biomass'!$G:$L,2,FALSE)</f>
        <v>315</v>
      </c>
      <c r="O4" s="8">
        <f>VLOOKUP($F4,'seagrass biomass'!$G:$L,3,FALSE)</f>
        <v>250</v>
      </c>
    </row>
    <row r="5" spans="1:18">
      <c r="A5" s="2" t="s">
        <v>120</v>
      </c>
      <c r="B5" s="2" t="s">
        <v>10</v>
      </c>
      <c r="C5" s="2" t="s">
        <v>118</v>
      </c>
      <c r="D5" s="2">
        <v>-8.6913541458376908</v>
      </c>
      <c r="E5" s="2">
        <v>40.672687257963432</v>
      </c>
      <c r="F5" s="2">
        <v>2025004</v>
      </c>
      <c r="H5" s="2" t="s">
        <v>158</v>
      </c>
      <c r="I5" s="2" t="s">
        <v>63</v>
      </c>
      <c r="J5" s="2" t="s">
        <v>60</v>
      </c>
      <c r="K5" s="8">
        <f>VLOOKUP(data!H5,cover!$A:$D,3,FALSE)</f>
        <v>2</v>
      </c>
      <c r="L5" s="8">
        <f>VLOOKUP(data!H5,cover!$A:$D,4,FALSE)</f>
        <v>4</v>
      </c>
      <c r="M5" s="8" t="s">
        <v>425</v>
      </c>
      <c r="N5" s="8">
        <f>VLOOKUP($F5,'seagrass biomass'!$G:$L,2,FALSE)</f>
        <v>42</v>
      </c>
      <c r="O5" s="8">
        <f>VLOOKUP($F5,'seagrass biomass'!$G:$L,3,FALSE)</f>
        <v>141</v>
      </c>
    </row>
    <row r="6" spans="1:18">
      <c r="A6" s="2" t="s">
        <v>120</v>
      </c>
      <c r="B6" s="2" t="s">
        <v>2</v>
      </c>
      <c r="C6" s="2" t="s">
        <v>118</v>
      </c>
      <c r="D6" s="2">
        <v>-8.6918059999999997</v>
      </c>
      <c r="E6" s="2">
        <v>40.672977999999993</v>
      </c>
      <c r="F6" s="2">
        <v>2025005</v>
      </c>
      <c r="H6" s="2" t="s">
        <v>159</v>
      </c>
      <c r="I6" s="2" t="s">
        <v>420</v>
      </c>
      <c r="J6" s="2" t="s">
        <v>60</v>
      </c>
      <c r="K6" s="8">
        <f>VLOOKUP(data!H6,cover!$A:$D,3,FALSE)</f>
        <v>5</v>
      </c>
      <c r="L6" s="8">
        <f>VLOOKUP(data!H6,cover!$A:$D,4,FALSE)</f>
        <v>0</v>
      </c>
      <c r="M6" s="8" t="s">
        <v>425</v>
      </c>
      <c r="N6" s="8">
        <f>VLOOKUP($F6,'seagrass biomass'!$G:$L,2,FALSE)</f>
        <v>2222</v>
      </c>
      <c r="O6" s="8">
        <f>VLOOKUP($F6,'seagrass biomass'!$G:$L,3,FALSE)</f>
        <v>939</v>
      </c>
    </row>
    <row r="7" spans="1:18">
      <c r="A7" s="2" t="s">
        <v>120</v>
      </c>
      <c r="B7" s="2" t="s">
        <v>3</v>
      </c>
      <c r="C7" s="2" t="s">
        <v>118</v>
      </c>
      <c r="D7" s="2">
        <v>-8.6914241383270223</v>
      </c>
      <c r="E7" s="2">
        <v>40.673322034524048</v>
      </c>
      <c r="F7" s="2">
        <v>2025006</v>
      </c>
      <c r="H7" s="2" t="s">
        <v>160</v>
      </c>
      <c r="I7" s="2" t="s">
        <v>421</v>
      </c>
      <c r="J7" s="2" t="s">
        <v>60</v>
      </c>
      <c r="K7" s="8">
        <f>VLOOKUP(data!H7,cover!$A:$D,3,FALSE)</f>
        <v>0</v>
      </c>
      <c r="L7" s="8">
        <f>VLOOKUP(data!H7,cover!$A:$D,4,FALSE)</f>
        <v>0</v>
      </c>
      <c r="M7" s="8" t="s">
        <v>421</v>
      </c>
      <c r="N7" s="8">
        <f>VLOOKUP($F7,'seagrass biomass'!$G:$L,2,FALSE)</f>
        <v>17</v>
      </c>
      <c r="O7" s="8">
        <f>VLOOKUP($F7,'seagrass biomass'!$G:$L,3,FALSE)</f>
        <v>0</v>
      </c>
    </row>
    <row r="8" spans="1:18">
      <c r="A8" s="2" t="s">
        <v>120</v>
      </c>
      <c r="B8" s="2" t="s">
        <v>11</v>
      </c>
      <c r="C8" s="2" t="s">
        <v>118</v>
      </c>
      <c r="D8" s="2">
        <v>-8.6909722835196561</v>
      </c>
      <c r="E8" s="2">
        <v>40.67303129100803</v>
      </c>
      <c r="F8" s="2">
        <v>2025007</v>
      </c>
      <c r="H8" s="2" t="s">
        <v>161</v>
      </c>
      <c r="I8" s="2" t="s">
        <v>422</v>
      </c>
      <c r="J8" s="2" t="s">
        <v>60</v>
      </c>
      <c r="K8" s="8">
        <f>VLOOKUP(data!H8,cover!$A:$D,3,FALSE)</f>
        <v>0</v>
      </c>
      <c r="L8" s="8">
        <f>VLOOKUP(data!H8,cover!$A:$D,4,FALSE)</f>
        <v>5</v>
      </c>
      <c r="M8" s="8" t="s">
        <v>422</v>
      </c>
      <c r="N8" s="8">
        <f>VLOOKUP($F8,'seagrass biomass'!$G:$L,2,FALSE)</f>
        <v>0</v>
      </c>
      <c r="O8" s="8">
        <f>VLOOKUP($F8,'seagrass biomass'!$G:$L,3,FALSE)</f>
        <v>0</v>
      </c>
    </row>
    <row r="9" spans="1:18">
      <c r="A9" s="2" t="s">
        <v>121</v>
      </c>
      <c r="B9" s="2" t="s">
        <v>42</v>
      </c>
      <c r="C9" s="2" t="s">
        <v>118</v>
      </c>
      <c r="D9" s="2">
        <v>-8.6906445798939327</v>
      </c>
      <c r="E9" s="2">
        <v>40.672993869562987</v>
      </c>
      <c r="F9" s="2">
        <v>2025008</v>
      </c>
      <c r="H9" s="2" t="s">
        <v>162</v>
      </c>
      <c r="I9" s="2" t="s">
        <v>420</v>
      </c>
      <c r="J9" s="2" t="s">
        <v>60</v>
      </c>
      <c r="K9" s="8">
        <f>VLOOKUP(data!H9,cover!$A:$D,3,FALSE)</f>
        <v>5</v>
      </c>
      <c r="L9" s="8">
        <f>VLOOKUP(data!H9,cover!$A:$D,4,FALSE)</f>
        <v>0</v>
      </c>
      <c r="M9" s="8" t="s">
        <v>425</v>
      </c>
      <c r="N9" s="8">
        <f>VLOOKUP($F9,'seagrass biomass'!$G:$L,2,FALSE)</f>
        <v>2418</v>
      </c>
      <c r="O9" s="8">
        <f>VLOOKUP($F9,'seagrass biomass'!$G:$L,3,FALSE)</f>
        <v>1706</v>
      </c>
    </row>
    <row r="10" spans="1:18">
      <c r="A10" s="2" t="s">
        <v>121</v>
      </c>
      <c r="B10" s="2" t="s">
        <v>41</v>
      </c>
      <c r="C10" s="2" t="s">
        <v>118</v>
      </c>
      <c r="D10" s="2">
        <v>-8.6908497844413599</v>
      </c>
      <c r="E10" s="2">
        <v>40.672778324977287</v>
      </c>
      <c r="F10" s="2">
        <v>2025009</v>
      </c>
      <c r="H10" s="2" t="s">
        <v>163</v>
      </c>
      <c r="I10" s="2" t="s">
        <v>420</v>
      </c>
      <c r="J10" s="2" t="s">
        <v>60</v>
      </c>
      <c r="K10" s="8">
        <f>VLOOKUP(data!H10,cover!$A:$D,3,FALSE)</f>
        <v>5</v>
      </c>
      <c r="L10" s="8">
        <f>VLOOKUP(data!H10,cover!$A:$D,4,FALSE)</f>
        <v>0</v>
      </c>
      <c r="M10" s="8" t="s">
        <v>425</v>
      </c>
      <c r="N10" s="8">
        <f>VLOOKUP($F10,'seagrass biomass'!$G:$L,2,FALSE)</f>
        <v>1377</v>
      </c>
      <c r="O10" s="8">
        <f>VLOOKUP($F10,'seagrass biomass'!$G:$L,3,FALSE)</f>
        <v>1864</v>
      </c>
    </row>
    <row r="11" spans="1:18">
      <c r="A11" s="2" t="s">
        <v>120</v>
      </c>
      <c r="B11" s="2" t="s">
        <v>19</v>
      </c>
      <c r="C11" s="2" t="s">
        <v>118</v>
      </c>
      <c r="D11" s="2">
        <v>-8.6905204326409766</v>
      </c>
      <c r="E11" s="2">
        <v>40.672740545723308</v>
      </c>
      <c r="F11" s="2">
        <v>2025010</v>
      </c>
      <c r="H11" s="2" t="s">
        <v>164</v>
      </c>
      <c r="I11" s="2" t="s">
        <v>420</v>
      </c>
      <c r="J11" s="2" t="s">
        <v>60</v>
      </c>
      <c r="K11" s="8">
        <f>VLOOKUP(data!H11,cover!$A:$D,3,FALSE)</f>
        <v>5</v>
      </c>
      <c r="L11" s="8">
        <f>VLOOKUP(data!H11,cover!$A:$D,4,FALSE)</f>
        <v>0</v>
      </c>
      <c r="M11" s="8" t="s">
        <v>425</v>
      </c>
      <c r="N11" s="8">
        <f>VLOOKUP($F11,'seagrass biomass'!$G:$L,2,FALSE)</f>
        <v>2797</v>
      </c>
      <c r="O11" s="8">
        <f>VLOOKUP($F11,'seagrass biomass'!$G:$L,3,FALSE)</f>
        <v>1048</v>
      </c>
    </row>
    <row r="12" spans="1:18">
      <c r="A12" s="2" t="s">
        <v>121</v>
      </c>
      <c r="B12" s="2" t="s">
        <v>49</v>
      </c>
      <c r="C12" s="2" t="s">
        <v>118</v>
      </c>
      <c r="D12" s="2">
        <v>-8.6902337000490792</v>
      </c>
      <c r="E12" s="2">
        <v>40.672736849908127</v>
      </c>
      <c r="F12" s="2">
        <v>2025011</v>
      </c>
      <c r="H12" s="2" t="s">
        <v>165</v>
      </c>
      <c r="I12" s="2" t="s">
        <v>420</v>
      </c>
      <c r="J12" s="2" t="s">
        <v>60</v>
      </c>
      <c r="K12" s="8">
        <f>VLOOKUP(data!H12,cover!$A:$D,3,FALSE)</f>
        <v>5</v>
      </c>
      <c r="L12" s="8">
        <f>VLOOKUP(data!H12,cover!$A:$D,4,FALSE)</f>
        <v>0</v>
      </c>
      <c r="M12" s="8" t="s">
        <v>425</v>
      </c>
      <c r="N12" s="8">
        <f>VLOOKUP($F12,'seagrass biomass'!$G:$L,2,FALSE)</f>
        <v>3628</v>
      </c>
      <c r="O12" s="8">
        <f>VLOOKUP($F12,'seagrass biomass'!$G:$L,3,FALSE)</f>
        <v>977</v>
      </c>
    </row>
    <row r="13" spans="1:18">
      <c r="A13" s="2" t="s">
        <v>121</v>
      </c>
      <c r="B13" s="2" t="s">
        <v>50</v>
      </c>
      <c r="C13" s="2" t="s">
        <v>118</v>
      </c>
      <c r="D13" s="2">
        <v>-8.6897935727161784</v>
      </c>
      <c r="E13" s="2">
        <v>40.672959682101009</v>
      </c>
      <c r="F13" s="2">
        <v>2025012</v>
      </c>
      <c r="H13" s="2" t="s">
        <v>166</v>
      </c>
      <c r="I13" s="2" t="s">
        <v>421</v>
      </c>
      <c r="J13" s="2" t="s">
        <v>60</v>
      </c>
      <c r="K13" s="8">
        <f>VLOOKUP(data!H13,cover!$A:$D,3,FALSE)</f>
        <v>0</v>
      </c>
      <c r="L13" s="8">
        <f>VLOOKUP(data!H13,cover!$A:$D,4,FALSE)</f>
        <v>0</v>
      </c>
      <c r="M13" s="8" t="s">
        <v>421</v>
      </c>
      <c r="N13" s="8">
        <f>VLOOKUP($F13,'seagrass biomass'!$G:$L,2,FALSE)</f>
        <v>0</v>
      </c>
      <c r="O13" s="8">
        <f>VLOOKUP($F13,'seagrass biomass'!$G:$L,3,FALSE)</f>
        <v>0</v>
      </c>
    </row>
    <row r="14" spans="1:18">
      <c r="A14" s="2" t="s">
        <v>120</v>
      </c>
      <c r="B14" s="2" t="s">
        <v>20</v>
      </c>
      <c r="C14" s="2" t="s">
        <v>118</v>
      </c>
      <c r="D14" s="2">
        <v>-8.6901385657493293</v>
      </c>
      <c r="E14" s="2">
        <v>40.673084575990693</v>
      </c>
      <c r="F14" s="2">
        <v>2025013</v>
      </c>
      <c r="H14" s="2" t="s">
        <v>167</v>
      </c>
      <c r="I14" s="2" t="s">
        <v>420</v>
      </c>
      <c r="J14" s="2" t="s">
        <v>60</v>
      </c>
      <c r="K14" s="8">
        <f>VLOOKUP(data!H14,cover!$A:$D,3,FALSE)</f>
        <v>5</v>
      </c>
      <c r="L14" s="8">
        <f>VLOOKUP(data!H14,cover!$A:$D,4,FALSE)</f>
        <v>0</v>
      </c>
      <c r="M14" s="8" t="s">
        <v>425</v>
      </c>
      <c r="N14" s="8">
        <f>VLOOKUP($F14,'seagrass biomass'!$G:$L,2,FALSE)</f>
        <v>1701</v>
      </c>
      <c r="O14" s="8">
        <f>VLOOKUP($F14,'seagrass biomass'!$G:$L,3,FALSE)</f>
        <v>1821</v>
      </c>
    </row>
    <row r="15" spans="1:18">
      <c r="A15" s="2" t="s">
        <v>120</v>
      </c>
      <c r="B15" s="2" t="s">
        <v>12</v>
      </c>
      <c r="C15" s="2" t="s">
        <v>118</v>
      </c>
      <c r="D15" s="2">
        <v>-8.6905904172729436</v>
      </c>
      <c r="E15" s="2">
        <v>40.673375322754858</v>
      </c>
      <c r="F15" s="2">
        <v>2025014</v>
      </c>
      <c r="H15" s="2" t="s">
        <v>168</v>
      </c>
      <c r="I15" s="2" t="s">
        <v>422</v>
      </c>
      <c r="J15" s="2" t="s">
        <v>60</v>
      </c>
      <c r="K15" s="8" t="str">
        <f>VLOOKUP(data!H15,cover!$A:$D,3,FALSE)</f>
        <v>+</v>
      </c>
      <c r="L15" s="8">
        <f>VLOOKUP(data!H15,cover!$A:$D,4,FALSE)</f>
        <v>5</v>
      </c>
      <c r="M15" s="8" t="s">
        <v>422</v>
      </c>
      <c r="N15" s="8">
        <f>VLOOKUP($F15,'seagrass biomass'!$G:$L,2,FALSE)</f>
        <v>0</v>
      </c>
      <c r="O15" s="8">
        <f>VLOOKUP($F15,'seagrass biomass'!$G:$L,3,FALSE)</f>
        <v>0</v>
      </c>
    </row>
    <row r="16" spans="1:18">
      <c r="A16" s="2" t="s">
        <v>121</v>
      </c>
      <c r="B16" s="2" t="s">
        <v>35</v>
      </c>
      <c r="C16" s="2" t="s">
        <v>118</v>
      </c>
      <c r="D16" s="2">
        <v>-8.6906575119461831</v>
      </c>
      <c r="E16" s="2">
        <v>40.673319516949107</v>
      </c>
      <c r="F16" s="2">
        <v>2025015</v>
      </c>
      <c r="H16" s="2" t="s">
        <v>169</v>
      </c>
      <c r="I16" s="2" t="s">
        <v>422</v>
      </c>
      <c r="J16" s="2" t="s">
        <v>60</v>
      </c>
      <c r="K16" s="8" t="str">
        <f>VLOOKUP(data!H16,cover!$A:$D,3,FALSE)</f>
        <v>+</v>
      </c>
      <c r="L16" s="8">
        <f>VLOOKUP(data!H16,cover!$A:$D,4,FALSE)</f>
        <v>4</v>
      </c>
      <c r="M16" s="8" t="s">
        <v>422</v>
      </c>
      <c r="N16" s="8">
        <f>VLOOKUP($F16,'seagrass biomass'!$G:$L,2,FALSE)</f>
        <v>31</v>
      </c>
      <c r="O16" s="8">
        <f>VLOOKUP($F16,'seagrass biomass'!$G:$L,3,FALSE)</f>
        <v>189</v>
      </c>
    </row>
    <row r="17" spans="1:18">
      <c r="A17" s="2" t="s">
        <v>120</v>
      </c>
      <c r="B17" s="2" t="s">
        <v>4</v>
      </c>
      <c r="C17" s="2" t="s">
        <v>118</v>
      </c>
      <c r="D17" s="2">
        <v>-8.6910422727253138</v>
      </c>
      <c r="E17" s="2">
        <v>40.673666067750403</v>
      </c>
      <c r="F17" s="2">
        <v>2025016</v>
      </c>
      <c r="H17" s="2" t="s">
        <v>170</v>
      </c>
      <c r="I17" s="2" t="s">
        <v>420</v>
      </c>
      <c r="J17" s="2" t="s">
        <v>60</v>
      </c>
      <c r="K17" s="8">
        <f>VLOOKUP(data!H17,cover!$A:$D,3,FALSE)</f>
        <v>3</v>
      </c>
      <c r="L17" s="8">
        <f>VLOOKUP(data!H17,cover!$A:$D,4,FALSE)</f>
        <v>0</v>
      </c>
      <c r="M17" s="8" t="s">
        <v>425</v>
      </c>
      <c r="N17" s="8">
        <f>VLOOKUP($F17,'seagrass biomass'!$G:$L,2,FALSE)</f>
        <v>977</v>
      </c>
      <c r="O17" s="8">
        <f>VLOOKUP($F17,'seagrass biomass'!$G:$L,3,FALSE)</f>
        <v>401</v>
      </c>
      <c r="R17" s="2" t="s">
        <v>58</v>
      </c>
    </row>
    <row r="18" spans="1:18">
      <c r="A18" s="2" t="s">
        <v>120</v>
      </c>
      <c r="B18" s="2" t="s">
        <v>5</v>
      </c>
      <c r="C18" s="2" t="s">
        <v>118</v>
      </c>
      <c r="D18" s="2">
        <v>-8.6906604031948032</v>
      </c>
      <c r="E18" s="2">
        <v>40.674010099678952</v>
      </c>
      <c r="F18" s="2">
        <v>2025017</v>
      </c>
      <c r="H18" s="2" t="s">
        <v>171</v>
      </c>
      <c r="I18" s="15" t="s">
        <v>63</v>
      </c>
      <c r="J18" s="2" t="s">
        <v>60</v>
      </c>
      <c r="K18" s="8">
        <f>VLOOKUP(data!H18,cover!$A:$D,3,FALSE)</f>
        <v>5</v>
      </c>
      <c r="L18" s="8" t="str">
        <f>VLOOKUP(data!H18,cover!$A:$D,4,FALSE)</f>
        <v>+</v>
      </c>
      <c r="M18" s="8" t="s">
        <v>425</v>
      </c>
      <c r="N18" s="8">
        <f>VLOOKUP($F18,'seagrass biomass'!$G:$L,2,FALSE)</f>
        <v>994</v>
      </c>
      <c r="O18" s="8">
        <f>VLOOKUP($F18,'seagrass biomass'!$G:$L,3,FALSE)</f>
        <v>343</v>
      </c>
    </row>
    <row r="19" spans="1:18">
      <c r="A19" s="2" t="s">
        <v>121</v>
      </c>
      <c r="B19" s="2" t="s">
        <v>36</v>
      </c>
      <c r="C19" s="2" t="s">
        <v>118</v>
      </c>
      <c r="D19" s="2">
        <v>-8.6905264720769217</v>
      </c>
      <c r="E19" s="2">
        <v>40.673643700012917</v>
      </c>
      <c r="F19" s="2">
        <v>2025018</v>
      </c>
      <c r="H19" s="2" t="s">
        <v>172</v>
      </c>
      <c r="I19" s="2" t="s">
        <v>420</v>
      </c>
      <c r="J19" s="2" t="s">
        <v>60</v>
      </c>
      <c r="K19" s="8">
        <f>VLOOKUP(data!H19,cover!$A:$D,3,FALSE)</f>
        <v>5</v>
      </c>
      <c r="L19" s="8">
        <f>VLOOKUP(data!H19,cover!$A:$D,4,FALSE)</f>
        <v>0</v>
      </c>
      <c r="M19" s="8" t="s">
        <v>425</v>
      </c>
      <c r="N19" s="8">
        <f>VLOOKUP($F19,'seagrass biomass'!$G:$L,2,FALSE)</f>
        <v>2523</v>
      </c>
      <c r="O19" s="8">
        <f>VLOOKUP($F19,'seagrass biomass'!$G:$L,3,FALSE)</f>
        <v>1219</v>
      </c>
    </row>
    <row r="20" spans="1:18">
      <c r="A20" s="2" t="s">
        <v>120</v>
      </c>
      <c r="B20" s="2" t="s">
        <v>13</v>
      </c>
      <c r="C20" s="2" t="s">
        <v>118</v>
      </c>
      <c r="D20" s="2">
        <v>-8.6902085470974679</v>
      </c>
      <c r="E20" s="2">
        <v>40.673719353203907</v>
      </c>
      <c r="F20" s="2">
        <v>2025019</v>
      </c>
      <c r="H20" s="2" t="s">
        <v>427</v>
      </c>
      <c r="J20" s="2" t="s">
        <v>60</v>
      </c>
      <c r="K20" s="9"/>
      <c r="L20" s="9"/>
      <c r="N20" s="8">
        <f>VLOOKUP($F20,'seagrass biomass'!$G:$L,2,FALSE)</f>
        <v>2695</v>
      </c>
      <c r="O20" s="8">
        <f>VLOOKUP($F20,'seagrass biomass'!$G:$L,3,FALSE)</f>
        <v>1160</v>
      </c>
      <c r="P20" s="2">
        <v>100</v>
      </c>
      <c r="R20" s="2" t="s">
        <v>134</v>
      </c>
    </row>
    <row r="21" spans="1:18">
      <c r="A21" s="2" t="s">
        <v>120</v>
      </c>
      <c r="B21" s="2" t="s">
        <v>22</v>
      </c>
      <c r="C21" s="2" t="s">
        <v>118</v>
      </c>
      <c r="D21" s="2">
        <v>-8.6893748201798182</v>
      </c>
      <c r="E21" s="2">
        <v>40.673772632631923</v>
      </c>
      <c r="F21" s="2">
        <v>2025020</v>
      </c>
      <c r="H21" s="2" t="s">
        <v>173</v>
      </c>
      <c r="I21" s="2" t="s">
        <v>421</v>
      </c>
      <c r="J21" s="2" t="s">
        <v>60</v>
      </c>
      <c r="K21" s="8" t="str">
        <f>VLOOKUP(data!H21,cover!$A:$D,3,FALSE)</f>
        <v>+</v>
      </c>
      <c r="L21" s="8" t="str">
        <f>VLOOKUP(data!H21,cover!$A:$D,4,FALSE)</f>
        <v>+</v>
      </c>
      <c r="M21" s="8" t="s">
        <v>421</v>
      </c>
      <c r="N21" s="8">
        <f>VLOOKUP($F21,'seagrass biomass'!$G:$L,2,FALSE)</f>
        <v>0</v>
      </c>
      <c r="O21" s="8">
        <f>VLOOKUP($F21,'seagrass biomass'!$G:$L,3,FALSE)</f>
        <v>0</v>
      </c>
    </row>
    <row r="22" spans="1:18">
      <c r="A22" s="2" t="s">
        <v>121</v>
      </c>
      <c r="B22" s="2" t="s">
        <v>44</v>
      </c>
      <c r="C22" s="2" t="s">
        <v>118</v>
      </c>
      <c r="D22" s="2">
        <v>-8.6895451211177956</v>
      </c>
      <c r="E22" s="2">
        <v>40.673856387448993</v>
      </c>
      <c r="F22" s="2">
        <v>2025021</v>
      </c>
      <c r="H22" s="2" t="s">
        <v>174</v>
      </c>
      <c r="I22" s="2" t="s">
        <v>420</v>
      </c>
      <c r="J22" s="2" t="s">
        <v>60</v>
      </c>
      <c r="K22" s="8">
        <f>VLOOKUP(data!H22,cover!$A:$D,3,FALSE)</f>
        <v>5</v>
      </c>
      <c r="L22" s="8">
        <f>VLOOKUP(data!H22,cover!$A:$D,4,FALSE)</f>
        <v>0</v>
      </c>
      <c r="M22" s="8" t="s">
        <v>425</v>
      </c>
      <c r="N22" s="8">
        <f>VLOOKUP($F22,'seagrass biomass'!$G:$L,2,FALSE)</f>
        <v>933</v>
      </c>
      <c r="O22" s="8">
        <f>VLOOKUP($F22,'seagrass biomass'!$G:$L,3,FALSE)</f>
        <v>750</v>
      </c>
    </row>
    <row r="23" spans="1:18">
      <c r="A23" s="2" t="s">
        <v>121</v>
      </c>
      <c r="B23" s="2" t="s">
        <v>45</v>
      </c>
      <c r="C23" s="2" t="s">
        <v>118</v>
      </c>
      <c r="D23" s="2">
        <v>-8.6896031652733416</v>
      </c>
      <c r="E23" s="2">
        <v>40.674075696751643</v>
      </c>
      <c r="F23" s="2">
        <v>2025022</v>
      </c>
      <c r="H23" s="2" t="s">
        <v>175</v>
      </c>
      <c r="I23" s="2" t="s">
        <v>422</v>
      </c>
      <c r="J23" s="2" t="s">
        <v>60</v>
      </c>
      <c r="K23" s="8" t="str">
        <f>VLOOKUP(data!H23,cover!$A:$D,3,FALSE)</f>
        <v>+</v>
      </c>
      <c r="L23" s="8">
        <f>VLOOKUP(data!H23,cover!$A:$D,4,FALSE)</f>
        <v>5</v>
      </c>
      <c r="M23" s="8" t="s">
        <v>422</v>
      </c>
      <c r="N23" s="8">
        <f>VLOOKUP($F23,'seagrass biomass'!$G:$L,2,FALSE)</f>
        <v>85</v>
      </c>
      <c r="O23" s="8">
        <f>VLOOKUP($F23,'seagrass biomass'!$G:$L,3,FALSE)</f>
        <v>719</v>
      </c>
    </row>
    <row r="24" spans="1:18">
      <c r="A24" s="2" t="s">
        <v>120</v>
      </c>
      <c r="B24" s="2" t="s">
        <v>14</v>
      </c>
      <c r="C24" s="2" t="s">
        <v>118</v>
      </c>
      <c r="D24" s="2">
        <v>-8.6898266729931564</v>
      </c>
      <c r="E24" s="2">
        <v>40.674063382355122</v>
      </c>
      <c r="F24" s="2">
        <v>2025023</v>
      </c>
      <c r="H24" s="2" t="s">
        <v>176</v>
      </c>
      <c r="I24" s="2" t="s">
        <v>63</v>
      </c>
      <c r="J24" s="2" t="s">
        <v>60</v>
      </c>
      <c r="K24" s="8">
        <f>VLOOKUP(data!H24,cover!$A:$D,3,FALSE)</f>
        <v>5</v>
      </c>
      <c r="L24" s="8">
        <f>VLOOKUP(data!H24,cover!$A:$D,4,FALSE)</f>
        <v>0</v>
      </c>
      <c r="M24" s="8" t="s">
        <v>425</v>
      </c>
      <c r="N24" s="8">
        <f>VLOOKUP($F24,'seagrass biomass'!$G:$L,2,FALSE)</f>
        <v>2790</v>
      </c>
      <c r="O24" s="8">
        <f>VLOOKUP($F24,'seagrass biomass'!$G:$L,3,FALSE)</f>
        <v>888</v>
      </c>
      <c r="P24" s="2">
        <v>100</v>
      </c>
      <c r="Q24" s="2" t="s">
        <v>125</v>
      </c>
    </row>
    <row r="25" spans="1:18">
      <c r="A25" s="2" t="s">
        <v>121</v>
      </c>
      <c r="B25" s="2" t="s">
        <v>37</v>
      </c>
      <c r="C25" s="2" t="s">
        <v>118</v>
      </c>
      <c r="D25" s="2">
        <v>-8.6902026127551224</v>
      </c>
      <c r="E25" s="2">
        <v>40.674294749900866</v>
      </c>
      <c r="F25" s="2">
        <v>2025024</v>
      </c>
      <c r="H25" s="2" t="s">
        <v>177</v>
      </c>
      <c r="I25" s="2" t="s">
        <v>420</v>
      </c>
      <c r="J25" s="2" t="s">
        <v>60</v>
      </c>
      <c r="K25" s="8">
        <f>VLOOKUP(data!H25,cover!$A:$D,3,FALSE)</f>
        <v>5</v>
      </c>
      <c r="L25" s="8">
        <f>VLOOKUP(data!H25,cover!$A:$D,4,FALSE)</f>
        <v>0</v>
      </c>
      <c r="M25" s="8" t="s">
        <v>425</v>
      </c>
      <c r="N25" s="8">
        <f>VLOOKUP($F25,'seagrass biomass'!$G:$L,2,FALSE)</f>
        <v>2113</v>
      </c>
      <c r="O25" s="8">
        <f>VLOOKUP($F25,'seagrass biomass'!$G:$L,3,FALSE)</f>
        <v>675</v>
      </c>
      <c r="P25" s="2">
        <v>100</v>
      </c>
      <c r="Q25" s="3" t="s">
        <v>124</v>
      </c>
    </row>
    <row r="26" spans="1:18">
      <c r="A26" s="2" t="s">
        <v>120</v>
      </c>
      <c r="B26" s="2" t="s">
        <v>6</v>
      </c>
      <c r="C26" s="2" t="s">
        <v>118</v>
      </c>
      <c r="D26" s="2">
        <v>-8.6902785297354068</v>
      </c>
      <c r="E26" s="2">
        <v>40.67435413030968</v>
      </c>
      <c r="F26" s="2">
        <v>2025025</v>
      </c>
      <c r="H26" s="2" t="s">
        <v>178</v>
      </c>
      <c r="I26" s="2" t="s">
        <v>420</v>
      </c>
      <c r="J26" s="2" t="s">
        <v>60</v>
      </c>
      <c r="K26" s="8">
        <f>VLOOKUP(data!H26,cover!$A:$D,3,FALSE)</f>
        <v>5</v>
      </c>
      <c r="L26" s="8">
        <f>VLOOKUP(data!H26,cover!$A:$D,4,FALSE)</f>
        <v>0</v>
      </c>
      <c r="M26" s="8" t="s">
        <v>425</v>
      </c>
      <c r="N26" s="8">
        <f>VLOOKUP($F26,'seagrass biomass'!$G:$L,2,FALSE)</f>
        <v>2237</v>
      </c>
      <c r="O26" s="8">
        <f>VLOOKUP($F26,'seagrass biomass'!$G:$L,3,FALSE)</f>
        <v>951</v>
      </c>
      <c r="P26" s="2">
        <v>100</v>
      </c>
      <c r="Q26" s="3" t="s">
        <v>123</v>
      </c>
    </row>
    <row r="27" spans="1:18">
      <c r="A27" s="2" t="s">
        <v>120</v>
      </c>
      <c r="B27" s="2" t="s">
        <v>7</v>
      </c>
      <c r="C27" s="2" t="s">
        <v>118</v>
      </c>
      <c r="D27" s="2">
        <v>-8.689896652347052</v>
      </c>
      <c r="E27" s="2">
        <v>40.674698159642553</v>
      </c>
      <c r="F27" s="2">
        <v>2025026</v>
      </c>
      <c r="H27" s="2" t="s">
        <v>179</v>
      </c>
      <c r="I27" s="2" t="s">
        <v>421</v>
      </c>
      <c r="J27" s="2" t="s">
        <v>60</v>
      </c>
      <c r="K27" s="8">
        <f>VLOOKUP(data!H27,cover!$A:$D,3,FALSE)</f>
        <v>0</v>
      </c>
      <c r="L27" s="8">
        <f>VLOOKUP(data!H27,cover!$A:$D,4,FALSE)</f>
        <v>0</v>
      </c>
      <c r="M27" s="8" t="s">
        <v>421</v>
      </c>
      <c r="N27" s="8">
        <f>VLOOKUP($F27,'seagrass biomass'!$G:$L,2,FALSE)</f>
        <v>0</v>
      </c>
      <c r="O27" s="8">
        <f>VLOOKUP($F27,'seagrass biomass'!$G:$L,3,FALSE)</f>
        <v>0</v>
      </c>
      <c r="P27" s="2">
        <v>0</v>
      </c>
      <c r="Q27" s="2" t="s">
        <v>126</v>
      </c>
    </row>
    <row r="28" spans="1:18">
      <c r="A28" s="2" t="s">
        <v>121</v>
      </c>
      <c r="B28" s="2" t="s">
        <v>38</v>
      </c>
      <c r="C28" s="2" t="s">
        <v>118</v>
      </c>
      <c r="D28" s="2">
        <v>-8.6895364014205079</v>
      </c>
      <c r="E28" s="2">
        <v>40.674447652450773</v>
      </c>
      <c r="F28" s="2">
        <v>2025027</v>
      </c>
      <c r="H28" s="2" t="s">
        <v>180</v>
      </c>
      <c r="I28" s="2" t="s">
        <v>422</v>
      </c>
      <c r="J28" s="2" t="s">
        <v>60</v>
      </c>
      <c r="K28" s="8">
        <f>VLOOKUP(data!H28,cover!$A:$D,3,FALSE)</f>
        <v>1</v>
      </c>
      <c r="L28" s="8">
        <f>VLOOKUP(data!H28,cover!$A:$D,4,FALSE)</f>
        <v>4</v>
      </c>
      <c r="M28" s="8" t="s">
        <v>422</v>
      </c>
      <c r="N28" s="8">
        <f>VLOOKUP($F28,'seagrass biomass'!$G:$L,2,FALSE)</f>
        <v>39</v>
      </c>
      <c r="O28" s="8">
        <f>VLOOKUP($F28,'seagrass biomass'!$G:$L,3,FALSE)</f>
        <v>161</v>
      </c>
    </row>
    <row r="29" spans="1:18">
      <c r="A29" s="2" t="s">
        <v>120</v>
      </c>
      <c r="B29" s="2" t="s">
        <v>15</v>
      </c>
      <c r="C29" s="2" t="s">
        <v>118</v>
      </c>
      <c r="D29" s="2">
        <v>-8.6894447949599289</v>
      </c>
      <c r="E29" s="2">
        <v>40.674407410208453</v>
      </c>
      <c r="F29" s="2">
        <v>2025028</v>
      </c>
      <c r="H29" s="2" t="s">
        <v>181</v>
      </c>
      <c r="I29" s="2" t="s">
        <v>420</v>
      </c>
      <c r="J29" s="2" t="s">
        <v>60</v>
      </c>
      <c r="K29" s="8">
        <f>VLOOKUP(data!H29,cover!$A:$D,3,FALSE)</f>
        <v>4</v>
      </c>
      <c r="L29" s="8" t="str">
        <f>VLOOKUP(data!H29,cover!$A:$D,4,FALSE)</f>
        <v>+</v>
      </c>
      <c r="M29" s="8" t="s">
        <v>425</v>
      </c>
      <c r="N29" s="8">
        <f>VLOOKUP($F29,'seagrass biomass'!$G:$L,2,FALSE)</f>
        <v>2715</v>
      </c>
      <c r="O29" s="8">
        <f>VLOOKUP($F29,'seagrass biomass'!$G:$L,3,FALSE)</f>
        <v>1696</v>
      </c>
    </row>
    <row r="30" spans="1:18">
      <c r="A30" s="2" t="s">
        <v>121</v>
      </c>
      <c r="B30" s="2" t="s">
        <v>46</v>
      </c>
      <c r="C30" s="2" t="s">
        <v>118</v>
      </c>
      <c r="D30" s="2">
        <v>-8.6891629353997395</v>
      </c>
      <c r="E30" s="2">
        <v>40.674482607871518</v>
      </c>
      <c r="F30" s="2">
        <v>2025029</v>
      </c>
      <c r="H30" s="2" t="s">
        <v>182</v>
      </c>
      <c r="I30" s="2" t="s">
        <v>63</v>
      </c>
      <c r="J30" s="2" t="s">
        <v>60</v>
      </c>
      <c r="K30" s="8">
        <f>VLOOKUP(data!H30,cover!$A:$D,3,FALSE)</f>
        <v>2</v>
      </c>
      <c r="L30" s="8">
        <f>VLOOKUP(data!H30,cover!$A:$D,4,FALSE)</f>
        <v>0</v>
      </c>
      <c r="M30" s="8" t="s">
        <v>425</v>
      </c>
      <c r="N30" s="8">
        <f>VLOOKUP($F30,'seagrass biomass'!$G:$L,2,FALSE)</f>
        <v>1294</v>
      </c>
      <c r="O30" s="8">
        <f>VLOOKUP($F30,'seagrass biomass'!$G:$L,3,FALSE)</f>
        <v>454</v>
      </c>
      <c r="P30" s="2">
        <v>50</v>
      </c>
      <c r="Q30" s="2" t="s">
        <v>132</v>
      </c>
    </row>
    <row r="31" spans="1:18">
      <c r="A31" s="2" t="s">
        <v>120</v>
      </c>
      <c r="B31" s="2" t="s">
        <v>23</v>
      </c>
      <c r="C31" s="2" t="s">
        <v>118</v>
      </c>
      <c r="D31" s="2">
        <v>-8.6889929415017981</v>
      </c>
      <c r="E31" s="2">
        <v>40.674116659005691</v>
      </c>
      <c r="F31" s="2">
        <v>2025030</v>
      </c>
      <c r="H31" s="2" t="s">
        <v>183</v>
      </c>
      <c r="I31" s="2" t="s">
        <v>421</v>
      </c>
      <c r="J31" s="2" t="s">
        <v>60</v>
      </c>
      <c r="K31" s="8" t="str">
        <f>VLOOKUP(data!H31,cover!$A:$D,3,FALSE)</f>
        <v>+</v>
      </c>
      <c r="L31" s="8">
        <f>VLOOKUP(data!H31,cover!$A:$D,4,FALSE)</f>
        <v>0</v>
      </c>
      <c r="M31" s="8" t="s">
        <v>421</v>
      </c>
      <c r="N31" s="8">
        <f>VLOOKUP($F31,'seagrass biomass'!$G:$L,2,FALSE)</f>
        <v>228</v>
      </c>
      <c r="O31" s="8">
        <f>VLOOKUP($F31,'seagrass biomass'!$G:$L,3,FALSE)</f>
        <v>191</v>
      </c>
      <c r="P31" s="2">
        <v>50</v>
      </c>
      <c r="Q31" s="2" t="s">
        <v>133</v>
      </c>
    </row>
    <row r="32" spans="1:18">
      <c r="A32" s="2" t="s">
        <v>121</v>
      </c>
      <c r="B32" s="2" t="s">
        <v>52</v>
      </c>
      <c r="C32" s="2" t="s">
        <v>118</v>
      </c>
      <c r="D32" s="2">
        <v>-8.6890768694457581</v>
      </c>
      <c r="E32" s="2">
        <v>40.673987862444093</v>
      </c>
      <c r="F32" s="2">
        <v>2025031</v>
      </c>
      <c r="H32" s="2" t="s">
        <v>184</v>
      </c>
      <c r="I32" s="2" t="s">
        <v>421</v>
      </c>
      <c r="J32" s="2" t="s">
        <v>60</v>
      </c>
      <c r="K32" s="8">
        <f>VLOOKUP(data!H32,cover!$A:$D,3,FALSE)</f>
        <v>0</v>
      </c>
      <c r="L32" s="8" t="str">
        <f>VLOOKUP(data!H32,cover!$A:$D,4,FALSE)</f>
        <v>+</v>
      </c>
      <c r="M32" s="8" t="s">
        <v>421</v>
      </c>
      <c r="N32" s="8">
        <f>VLOOKUP($F32,'seagrass biomass'!$G:$L,2,FALSE)</f>
        <v>0</v>
      </c>
      <c r="O32" s="8">
        <f>VLOOKUP($F32,'seagrass biomass'!$G:$L,3,FALSE)</f>
        <v>0</v>
      </c>
    </row>
    <row r="33" spans="1:17">
      <c r="A33" s="2" t="s">
        <v>121</v>
      </c>
      <c r="B33" s="2" t="s">
        <v>53</v>
      </c>
      <c r="C33" s="2" t="s">
        <v>118</v>
      </c>
      <c r="D33" s="2">
        <v>-8.6882516523330438</v>
      </c>
      <c r="E33" s="2">
        <v>40.67410705843696</v>
      </c>
      <c r="F33" s="2">
        <v>2025032</v>
      </c>
      <c r="H33" s="2" t="s">
        <v>185</v>
      </c>
      <c r="I33" s="2" t="s">
        <v>421</v>
      </c>
      <c r="J33" s="2" t="s">
        <v>60</v>
      </c>
      <c r="K33" s="8">
        <f>VLOOKUP(data!H33,cover!$A:$D,3,FALSE)</f>
        <v>0</v>
      </c>
      <c r="L33" s="8">
        <f>VLOOKUP(data!H33,cover!$A:$D,4,FALSE)</f>
        <v>0</v>
      </c>
      <c r="M33" s="8" t="s">
        <v>421</v>
      </c>
      <c r="N33" s="8">
        <f>VLOOKUP($F33,'seagrass biomass'!$G:$L,2,FALSE)</f>
        <v>0</v>
      </c>
      <c r="O33" s="8">
        <f>VLOOKUP($F33,'seagrass biomass'!$G:$L,3,FALSE)</f>
        <v>0</v>
      </c>
    </row>
    <row r="34" spans="1:17">
      <c r="A34" s="2" t="s">
        <v>120</v>
      </c>
      <c r="B34" s="2" t="s">
        <v>32</v>
      </c>
      <c r="C34" s="2" t="s">
        <v>118</v>
      </c>
      <c r="D34" s="2">
        <v>-8.6881592087209789</v>
      </c>
      <c r="E34" s="2">
        <v>40.674169929630608</v>
      </c>
      <c r="F34" s="2">
        <v>2025033</v>
      </c>
      <c r="H34" s="2" t="s">
        <v>188</v>
      </c>
      <c r="I34" s="2" t="s">
        <v>421</v>
      </c>
      <c r="J34" s="2" t="s">
        <v>60</v>
      </c>
      <c r="K34" s="8">
        <f>VLOOKUP(data!H34,cover!$A:$D,3,FALSE)</f>
        <v>0</v>
      </c>
      <c r="L34" s="8">
        <f>VLOOKUP(data!H34,cover!$A:$D,4,FALSE)</f>
        <v>0</v>
      </c>
      <c r="M34" s="8" t="s">
        <v>421</v>
      </c>
      <c r="N34" s="8">
        <f>VLOOKUP($F34,'seagrass biomass'!$G:$L,2,FALSE)</f>
        <v>0</v>
      </c>
      <c r="O34" s="8">
        <f>VLOOKUP($F34,'seagrass biomass'!$G:$L,3,FALSE)</f>
        <v>0</v>
      </c>
    </row>
    <row r="35" spans="1:17">
      <c r="A35" s="2" t="s">
        <v>120</v>
      </c>
      <c r="B35" s="2" t="s">
        <v>24</v>
      </c>
      <c r="C35" s="2" t="s">
        <v>118</v>
      </c>
      <c r="D35" s="2">
        <v>-8.6886110588948338</v>
      </c>
      <c r="E35" s="2">
        <v>40.674460684081517</v>
      </c>
      <c r="F35" s="2">
        <v>2025034</v>
      </c>
      <c r="H35" s="2" t="s">
        <v>189</v>
      </c>
      <c r="I35" s="2" t="s">
        <v>421</v>
      </c>
      <c r="J35" s="2" t="s">
        <v>60</v>
      </c>
      <c r="K35" s="8">
        <f>VLOOKUP(data!H35,cover!$A:$D,3,FALSE)</f>
        <v>0</v>
      </c>
      <c r="L35" s="8">
        <f>VLOOKUP(data!H35,cover!$A:$D,4,FALSE)</f>
        <v>0</v>
      </c>
      <c r="M35" s="8" t="s">
        <v>421</v>
      </c>
      <c r="N35" s="8">
        <f>VLOOKUP($F35,'seagrass biomass'!$G:$L,2,FALSE)</f>
        <v>0</v>
      </c>
      <c r="O35" s="8">
        <f>VLOOKUP($F35,'seagrass biomass'!$G:$L,3,FALSE)</f>
        <v>0</v>
      </c>
      <c r="P35" s="2">
        <v>0</v>
      </c>
      <c r="Q35" s="2" t="s">
        <v>131</v>
      </c>
    </row>
    <row r="36" spans="1:17">
      <c r="A36" s="2" t="s">
        <v>121</v>
      </c>
      <c r="B36" s="2" t="s">
        <v>47</v>
      </c>
      <c r="C36" s="2" t="s">
        <v>118</v>
      </c>
      <c r="D36" s="2">
        <v>-8.6887206476385881</v>
      </c>
      <c r="E36" s="2">
        <v>40.674762013477391</v>
      </c>
      <c r="F36" s="2">
        <v>2025035</v>
      </c>
      <c r="H36" s="2" t="s">
        <v>190</v>
      </c>
      <c r="I36" s="2" t="s">
        <v>63</v>
      </c>
      <c r="J36" s="2" t="s">
        <v>60</v>
      </c>
      <c r="K36" s="8">
        <f>VLOOKUP(data!H36,cover!$A:$D,3,FALSE)</f>
        <v>3</v>
      </c>
      <c r="L36" s="8">
        <f>VLOOKUP(data!H36,cover!$A:$D,4,FALSE)</f>
        <v>0</v>
      </c>
      <c r="M36" s="8" t="s">
        <v>425</v>
      </c>
      <c r="N36" s="8">
        <f>VLOOKUP($F36,'seagrass biomass'!$G:$L,2,FALSE)</f>
        <v>209</v>
      </c>
      <c r="O36" s="8">
        <f>VLOOKUP($F36,'seagrass biomass'!$G:$L,3,FALSE)</f>
        <v>248</v>
      </c>
      <c r="P36" s="2">
        <v>50</v>
      </c>
      <c r="Q36" s="2" t="s">
        <v>129</v>
      </c>
    </row>
    <row r="37" spans="1:17">
      <c r="A37" s="2" t="s">
        <v>120</v>
      </c>
      <c r="B37" s="2" t="s">
        <v>17</v>
      </c>
      <c r="C37" s="2" t="s">
        <v>118</v>
      </c>
      <c r="D37" s="2">
        <v>-8.6886810271064263</v>
      </c>
      <c r="E37" s="2">
        <v>40.675095462021233</v>
      </c>
      <c r="F37" s="2">
        <v>2025036</v>
      </c>
      <c r="H37" s="2" t="s">
        <v>191</v>
      </c>
      <c r="I37" s="2" t="s">
        <v>420</v>
      </c>
      <c r="J37" s="2" t="s">
        <v>60</v>
      </c>
      <c r="K37" s="8">
        <f>VLOOKUP(data!H37,cover!$A:$D,3,FALSE)</f>
        <v>4</v>
      </c>
      <c r="L37" s="8">
        <f>VLOOKUP(data!H37,cover!$A:$D,4,FALSE)</f>
        <v>0</v>
      </c>
      <c r="M37" s="8" t="s">
        <v>425</v>
      </c>
      <c r="N37" s="8">
        <f>VLOOKUP($F37,'seagrass biomass'!$G:$L,2,FALSE)</f>
        <v>645</v>
      </c>
      <c r="O37" s="8">
        <f>VLOOKUP($F37,'seagrass biomass'!$G:$L,3,FALSE)</f>
        <v>607</v>
      </c>
      <c r="P37" s="2">
        <v>50</v>
      </c>
      <c r="Q37" s="2" t="s">
        <v>130</v>
      </c>
    </row>
    <row r="38" spans="1:17">
      <c r="A38" s="2" t="s">
        <v>120</v>
      </c>
      <c r="B38" s="2" t="s">
        <v>16</v>
      </c>
      <c r="C38" s="2" t="s">
        <v>118</v>
      </c>
      <c r="D38" s="2">
        <v>-8.6890629129977128</v>
      </c>
      <c r="E38" s="2">
        <v>40.674751436763827</v>
      </c>
      <c r="F38" s="2">
        <v>2025037</v>
      </c>
      <c r="H38" s="2" t="s">
        <v>192</v>
      </c>
      <c r="I38" s="2" t="s">
        <v>420</v>
      </c>
      <c r="J38" s="2" t="s">
        <v>60</v>
      </c>
      <c r="K38" s="8">
        <f>VLOOKUP(data!H38,cover!$A:$D,3,FALSE)</f>
        <v>5</v>
      </c>
      <c r="L38" s="8">
        <f>VLOOKUP(data!H38,cover!$A:$D,4,FALSE)</f>
        <v>0</v>
      </c>
      <c r="M38" s="8" t="s">
        <v>425</v>
      </c>
      <c r="N38" s="8">
        <f>VLOOKUP($F38,'seagrass biomass'!$G:$L,2,FALSE)</f>
        <v>1871</v>
      </c>
      <c r="O38" s="8">
        <f>VLOOKUP($F38,'seagrass biomass'!$G:$L,3,FALSE)</f>
        <v>1585</v>
      </c>
    </row>
    <row r="39" spans="1:17">
      <c r="A39" s="2" t="s">
        <v>121</v>
      </c>
      <c r="B39" s="2" t="s">
        <v>39</v>
      </c>
      <c r="C39" s="2" t="s">
        <v>118</v>
      </c>
      <c r="D39" s="2">
        <v>-8.6893754607058007</v>
      </c>
      <c r="E39" s="2">
        <v>40.674801617968328</v>
      </c>
      <c r="F39" s="2">
        <v>2025038</v>
      </c>
      <c r="H39" s="2" t="s">
        <v>193</v>
      </c>
      <c r="I39" s="2" t="s">
        <v>63</v>
      </c>
      <c r="J39" s="2" t="s">
        <v>60</v>
      </c>
      <c r="K39" s="8">
        <f>VLOOKUP(data!H39,cover!$A:$D,3,FALSE)</f>
        <v>4</v>
      </c>
      <c r="L39" s="8">
        <f>VLOOKUP(data!H39,cover!$A:$D,4,FALSE)</f>
        <v>0</v>
      </c>
      <c r="M39" s="8" t="s">
        <v>425</v>
      </c>
      <c r="N39" s="8">
        <f>VLOOKUP($F39,'seagrass biomass'!$G:$L,2,FALSE)</f>
        <v>1642</v>
      </c>
      <c r="O39" s="8">
        <f>VLOOKUP($F39,'seagrass biomass'!$G:$L,3,FALSE)</f>
        <v>1381</v>
      </c>
    </row>
    <row r="40" spans="1:17">
      <c r="A40" s="2" t="s">
        <v>120</v>
      </c>
      <c r="B40" s="2" t="s">
        <v>8</v>
      </c>
      <c r="C40" s="2" t="s">
        <v>118</v>
      </c>
      <c r="D40" s="2">
        <v>-8.6895147710296587</v>
      </c>
      <c r="E40" s="2">
        <v>40.675042187677512</v>
      </c>
      <c r="F40" s="2">
        <v>2025039</v>
      </c>
      <c r="H40" s="2" t="s">
        <v>194</v>
      </c>
      <c r="I40" s="2" t="s">
        <v>421</v>
      </c>
      <c r="J40" s="2" t="s">
        <v>60</v>
      </c>
      <c r="K40" s="8">
        <f>VLOOKUP(data!H40,cover!$A:$D,3,FALSE)</f>
        <v>0</v>
      </c>
      <c r="L40" s="8">
        <f>VLOOKUP(data!H40,cover!$A:$D,4,FALSE)</f>
        <v>0</v>
      </c>
      <c r="M40" s="8" t="s">
        <v>421</v>
      </c>
      <c r="N40" s="8">
        <f>VLOOKUP($F40,'seagrass biomass'!$G:$L,2,FALSE)</f>
        <v>0</v>
      </c>
      <c r="O40" s="8">
        <f>VLOOKUP($F40,'seagrass biomass'!$G:$L,3,FALSE)</f>
        <v>0</v>
      </c>
      <c r="P40" s="2">
        <v>0</v>
      </c>
      <c r="Q40" s="2" t="s">
        <v>127</v>
      </c>
    </row>
    <row r="41" spans="1:17">
      <c r="A41" s="2" t="s">
        <v>120</v>
      </c>
      <c r="B41" s="2" t="s">
        <v>9</v>
      </c>
      <c r="C41" s="2" t="s">
        <v>118</v>
      </c>
      <c r="D41" s="2">
        <v>-8.6891328857831507</v>
      </c>
      <c r="E41" s="2">
        <v>40.675386214414502</v>
      </c>
      <c r="F41" s="2">
        <v>2025040</v>
      </c>
      <c r="H41" s="2" t="s">
        <v>195</v>
      </c>
      <c r="I41" s="2" t="s">
        <v>421</v>
      </c>
      <c r="J41" s="2" t="s">
        <v>60</v>
      </c>
      <c r="K41" s="8">
        <f>VLOOKUP(data!H41,cover!$A:$D,3,FALSE)</f>
        <v>0</v>
      </c>
      <c r="L41" s="8">
        <f>VLOOKUP(data!H41,cover!$A:$D,4,FALSE)</f>
        <v>0</v>
      </c>
      <c r="M41" s="8" t="s">
        <v>421</v>
      </c>
      <c r="N41" s="8">
        <f>VLOOKUP($F41,'seagrass biomass'!$G:$L,2,FALSE)</f>
        <v>0</v>
      </c>
      <c r="O41" s="8">
        <f>VLOOKUP($F41,'seagrass biomass'!$G:$L,3,FALSE)</f>
        <v>0</v>
      </c>
      <c r="P41" s="2">
        <v>0</v>
      </c>
      <c r="Q41" s="2" t="s">
        <v>128</v>
      </c>
    </row>
    <row r="42" spans="1:17">
      <c r="A42" s="2" t="s">
        <v>121</v>
      </c>
      <c r="B42" s="2" t="s">
        <v>40</v>
      </c>
      <c r="C42" s="2" t="s">
        <v>118</v>
      </c>
      <c r="D42" s="2">
        <v>-8.6889636849382548</v>
      </c>
      <c r="E42" s="2">
        <v>40.674983305780607</v>
      </c>
      <c r="F42" s="2">
        <v>2025081</v>
      </c>
      <c r="H42" s="2" t="s">
        <v>196</v>
      </c>
      <c r="I42" s="2" t="s">
        <v>420</v>
      </c>
      <c r="J42" s="2" t="s">
        <v>60</v>
      </c>
      <c r="K42" s="8">
        <f>VLOOKUP(data!H42,cover!$A:$D,3,FALSE)</f>
        <v>5</v>
      </c>
      <c r="L42" s="8">
        <f>VLOOKUP(data!H42,cover!$A:$D,4,FALSE)</f>
        <v>0</v>
      </c>
      <c r="M42" s="8" t="s">
        <v>425</v>
      </c>
      <c r="N42" s="8">
        <f>VLOOKUP($F42,'seagrass biomass'!$G:$L,2,FALSE)</f>
        <v>2745</v>
      </c>
      <c r="O42" s="8">
        <f>VLOOKUP($F42,'seagrass biomass'!$G:$L,3,FALSE)</f>
        <v>1244</v>
      </c>
    </row>
    <row r="43" spans="1:17">
      <c r="A43" s="2" t="s">
        <v>120</v>
      </c>
      <c r="B43" s="2" t="s">
        <v>25</v>
      </c>
      <c r="C43" s="2" t="s">
        <v>118</v>
      </c>
      <c r="D43" s="2">
        <v>-8.6882291723588452</v>
      </c>
      <c r="E43" s="2">
        <v>40.67480470785933</v>
      </c>
      <c r="F43" s="2">
        <v>2025082</v>
      </c>
      <c r="H43" s="2" t="s">
        <v>197</v>
      </c>
      <c r="I43" s="2" t="s">
        <v>420</v>
      </c>
      <c r="J43" s="2" t="s">
        <v>60</v>
      </c>
      <c r="K43" s="8">
        <f>VLOOKUP(data!H43,cover!$A:$D,3,FALSE)</f>
        <v>2</v>
      </c>
      <c r="L43" s="8">
        <f>VLOOKUP(data!H43,cover!$A:$D,4,FALSE)</f>
        <v>0</v>
      </c>
      <c r="M43" s="8" t="s">
        <v>425</v>
      </c>
      <c r="N43" s="8">
        <f>VLOOKUP($F43,'seagrass biomass'!$G:$L,2,FALSE)</f>
        <v>400</v>
      </c>
      <c r="O43" s="8">
        <f>VLOOKUP($F43,'seagrass biomass'!$G:$L,3,FALSE)</f>
        <v>338</v>
      </c>
    </row>
    <row r="44" spans="1:17">
      <c r="A44" s="2" t="s">
        <v>120</v>
      </c>
      <c r="B44" s="2" t="s">
        <v>91</v>
      </c>
      <c r="C44" s="2" t="s">
        <v>119</v>
      </c>
      <c r="D44" s="2">
        <v>-8.6786166131566684</v>
      </c>
      <c r="E44" s="2">
        <v>40.693744548667389</v>
      </c>
      <c r="F44" s="2">
        <v>2025083</v>
      </c>
      <c r="H44" s="2" t="s">
        <v>198</v>
      </c>
      <c r="I44" s="2" t="s">
        <v>420</v>
      </c>
      <c r="J44" s="2" t="s">
        <v>60</v>
      </c>
      <c r="K44" s="8">
        <f>VLOOKUP(data!H44,cover!$A:$D,3,FALSE)</f>
        <v>4</v>
      </c>
      <c r="L44" s="8">
        <f>VLOOKUP(data!H44,cover!$A:$D,4,FALSE)</f>
        <v>0</v>
      </c>
      <c r="M44" s="8" t="s">
        <v>425</v>
      </c>
      <c r="N44" s="8" t="e">
        <f>VLOOKUP($F44,'seagrass biomass'!$G:$L,2,FALSE)</f>
        <v>#N/A</v>
      </c>
      <c r="O44" s="8" t="e">
        <f>VLOOKUP($F44,'seagrass biomass'!$G:$L,3,FALSE)</f>
        <v>#N/A</v>
      </c>
    </row>
    <row r="45" spans="1:17">
      <c r="A45" s="2" t="s">
        <v>121</v>
      </c>
      <c r="B45" s="2" t="s">
        <v>116</v>
      </c>
      <c r="C45" s="2" t="s">
        <v>119</v>
      </c>
      <c r="D45" s="2">
        <v>-8.6785834445911245</v>
      </c>
      <c r="E45" s="2">
        <v>40.693312999004867</v>
      </c>
      <c r="F45" s="2">
        <v>2025084</v>
      </c>
      <c r="H45" s="2" t="s">
        <v>199</v>
      </c>
      <c r="I45" s="2" t="s">
        <v>420</v>
      </c>
      <c r="J45" s="2" t="s">
        <v>60</v>
      </c>
      <c r="K45" s="8">
        <f>VLOOKUP(data!H45,cover!$A:$D,3,FALSE)</f>
        <v>5</v>
      </c>
      <c r="L45" s="8" t="str">
        <f>VLOOKUP(data!H45,cover!$A:$D,4,FALSE)</f>
        <v>+</v>
      </c>
      <c r="M45" s="8" t="s">
        <v>425</v>
      </c>
      <c r="N45" s="8">
        <f>VLOOKUP($F45,'seagrass biomass'!$G:$L,2,FALSE)</f>
        <v>1514</v>
      </c>
      <c r="O45" s="8">
        <f>VLOOKUP($F45,'seagrass biomass'!$G:$L,3,FALSE)</f>
        <v>556</v>
      </c>
    </row>
    <row r="46" spans="1:17">
      <c r="A46" s="2" t="s">
        <v>120</v>
      </c>
      <c r="B46" s="2" t="s">
        <v>90</v>
      </c>
      <c r="C46" s="2" t="s">
        <v>119</v>
      </c>
      <c r="D46" s="2">
        <v>-8.6788210461547095</v>
      </c>
      <c r="E46" s="2">
        <v>40.693321847234543</v>
      </c>
      <c r="F46" s="2">
        <v>2025085</v>
      </c>
      <c r="H46" s="2" t="s">
        <v>200</v>
      </c>
      <c r="I46" s="2" t="s">
        <v>420</v>
      </c>
      <c r="J46" s="2" t="s">
        <v>60</v>
      </c>
      <c r="K46" s="8">
        <f>VLOOKUP(data!H46,cover!$A:$D,3,FALSE)</f>
        <v>5</v>
      </c>
      <c r="L46" s="8">
        <f>VLOOKUP(data!H46,cover!$A:$D,4,FALSE)</f>
        <v>0</v>
      </c>
      <c r="M46" s="8" t="s">
        <v>425</v>
      </c>
      <c r="N46" s="8">
        <f>VLOOKUP($F46,'seagrass biomass'!$G:$L,2,FALSE)</f>
        <v>2566</v>
      </c>
      <c r="O46" s="8">
        <f>VLOOKUP($F46,'seagrass biomass'!$G:$L,3,FALSE)</f>
        <v>1512</v>
      </c>
    </row>
    <row r="47" spans="1:17">
      <c r="A47" s="2" t="s">
        <v>120</v>
      </c>
      <c r="B47" s="2" t="s">
        <v>89</v>
      </c>
      <c r="C47" s="2" t="s">
        <v>119</v>
      </c>
      <c r="D47" s="2">
        <v>-8.679025476553754</v>
      </c>
      <c r="E47" s="2">
        <v>40.69289914539894</v>
      </c>
      <c r="F47" s="2">
        <v>2025086</v>
      </c>
      <c r="H47" s="2" t="s">
        <v>201</v>
      </c>
      <c r="I47" s="2" t="s">
        <v>420</v>
      </c>
      <c r="J47" s="2" t="s">
        <v>60</v>
      </c>
      <c r="K47" s="8">
        <f>VLOOKUP(data!H47,cover!$A:$D,3,FALSE)</f>
        <v>5</v>
      </c>
      <c r="L47" s="8">
        <f>VLOOKUP(data!H47,cover!$A:$D,4,FALSE)</f>
        <v>0</v>
      </c>
      <c r="M47" s="8" t="s">
        <v>425</v>
      </c>
      <c r="N47" s="8">
        <f>VLOOKUP($F47,'seagrass biomass'!$G:$L,2,FALSE)</f>
        <v>3538</v>
      </c>
      <c r="O47" s="8">
        <f>VLOOKUP($F47,'seagrass biomass'!$G:$L,3,FALSE)</f>
        <v>2263</v>
      </c>
    </row>
    <row r="48" spans="1:17">
      <c r="A48" s="2" t="s">
        <v>121</v>
      </c>
      <c r="B48" s="2" t="s">
        <v>114</v>
      </c>
      <c r="C48" s="2" t="s">
        <v>119</v>
      </c>
      <c r="D48" s="2">
        <v>-8.678762481709402</v>
      </c>
      <c r="E48" s="2">
        <v>40.692555607082951</v>
      </c>
      <c r="F48" s="2">
        <v>2025087</v>
      </c>
      <c r="H48" s="2" t="s">
        <v>202</v>
      </c>
      <c r="I48" s="2" t="s">
        <v>420</v>
      </c>
      <c r="J48" s="2" t="s">
        <v>60</v>
      </c>
      <c r="K48" s="8">
        <f>VLOOKUP(data!H48,cover!$A:$D,3,FALSE)</f>
        <v>5</v>
      </c>
      <c r="L48" s="8">
        <f>VLOOKUP(data!H48,cover!$A:$D,4,FALSE)</f>
        <v>0</v>
      </c>
      <c r="M48" s="8" t="s">
        <v>425</v>
      </c>
      <c r="N48" s="8">
        <f>VLOOKUP($F48,'seagrass biomass'!$G:$L,2,FALSE)</f>
        <v>1780</v>
      </c>
      <c r="O48" s="8">
        <f>VLOOKUP($F48,'seagrass biomass'!$G:$L,3,FALSE)</f>
        <v>1728</v>
      </c>
    </row>
    <row r="49" spans="1:18">
      <c r="A49" s="2" t="s">
        <v>121</v>
      </c>
      <c r="B49" s="2" t="s">
        <v>111</v>
      </c>
      <c r="C49" s="2" t="s">
        <v>119</v>
      </c>
      <c r="D49" s="2">
        <v>-8.6793081877929463</v>
      </c>
      <c r="E49" s="2">
        <v>40.692930260988938</v>
      </c>
      <c r="F49" s="2">
        <v>2025088</v>
      </c>
      <c r="H49" s="2" t="s">
        <v>203</v>
      </c>
      <c r="I49" s="2" t="s">
        <v>420</v>
      </c>
      <c r="J49" s="2" t="s">
        <v>60</v>
      </c>
      <c r="K49" s="8">
        <f>VLOOKUP(data!H49,cover!$A:$D,3,FALSE)</f>
        <v>5</v>
      </c>
      <c r="L49" s="8">
        <f>VLOOKUP(data!H49,cover!$A:$D,4,FALSE)</f>
        <v>0</v>
      </c>
      <c r="M49" s="8" t="s">
        <v>425</v>
      </c>
      <c r="N49" s="8">
        <f>VLOOKUP($F49,'seagrass biomass'!$G:$L,2,FALSE)</f>
        <v>3113</v>
      </c>
      <c r="O49" s="8">
        <f>VLOOKUP($F49,'seagrass biomass'!$G:$L,3,FALSE)</f>
        <v>899</v>
      </c>
    </row>
    <row r="50" spans="1:18">
      <c r="A50" s="2" t="s">
        <v>120</v>
      </c>
      <c r="B50" s="2" t="s">
        <v>84</v>
      </c>
      <c r="C50" s="2" t="s">
        <v>119</v>
      </c>
      <c r="D50" s="2">
        <v>-8.6797852471313988</v>
      </c>
      <c r="E50" s="2">
        <v>40.692632042631871</v>
      </c>
      <c r="F50" s="2">
        <v>2025089</v>
      </c>
      <c r="H50" s="2" t="s">
        <v>204</v>
      </c>
      <c r="I50" s="2" t="s">
        <v>420</v>
      </c>
      <c r="J50" s="2" t="s">
        <v>57</v>
      </c>
      <c r="K50" s="8">
        <f>VLOOKUP(data!H50,cover!$A:$D,3,FALSE)</f>
        <v>5</v>
      </c>
      <c r="L50" s="8">
        <f>VLOOKUP(data!H50,cover!$A:$D,4,FALSE)</f>
        <v>0</v>
      </c>
      <c r="M50" s="8" t="s">
        <v>425</v>
      </c>
      <c r="N50" s="8">
        <f>VLOOKUP($F50,'seagrass biomass'!$G:$L,2,FALSE)</f>
        <v>857</v>
      </c>
      <c r="O50" s="8">
        <f>VLOOKUP($F50,'seagrass biomass'!$G:$L,3,FALSE)</f>
        <v>705</v>
      </c>
      <c r="R50" s="2" t="s">
        <v>152</v>
      </c>
    </row>
    <row r="51" spans="1:18">
      <c r="A51" s="2" t="s">
        <v>120</v>
      </c>
      <c r="B51" s="2" t="s">
        <v>80</v>
      </c>
      <c r="C51" s="2" t="s">
        <v>119</v>
      </c>
      <c r="D51" s="2">
        <v>-8.6803405925077062</v>
      </c>
      <c r="E51" s="2">
        <v>40.69278763943732</v>
      </c>
      <c r="F51" s="2">
        <v>2025090</v>
      </c>
      <c r="H51" s="2" t="s">
        <v>205</v>
      </c>
      <c r="I51" s="2" t="s">
        <v>420</v>
      </c>
      <c r="J51" s="2" t="s">
        <v>60</v>
      </c>
      <c r="K51" s="8">
        <f>VLOOKUP(data!H51,cover!$A:$D,3,FALSE)</f>
        <v>5</v>
      </c>
      <c r="L51" s="8">
        <f>VLOOKUP(data!H51,cover!$A:$D,4,FALSE)</f>
        <v>0</v>
      </c>
      <c r="M51" s="8" t="s">
        <v>425</v>
      </c>
      <c r="N51" s="8" t="e">
        <f>VLOOKUP($F51,'seagrass biomass'!$G:$L,2,FALSE)</f>
        <v>#N/A</v>
      </c>
      <c r="O51" s="8" t="e">
        <f>VLOOKUP($F51,'seagrass biomass'!$G:$L,3,FALSE)</f>
        <v>#N/A</v>
      </c>
    </row>
    <row r="52" spans="1:18">
      <c r="A52" s="2" t="s">
        <v>121</v>
      </c>
      <c r="B52" s="2" t="s">
        <v>108</v>
      </c>
      <c r="C52" s="2" t="s">
        <v>119</v>
      </c>
      <c r="D52" s="2">
        <v>-8.6796997745988449</v>
      </c>
      <c r="E52" s="2">
        <v>40.692913910460902</v>
      </c>
      <c r="F52" s="2">
        <v>2025091</v>
      </c>
      <c r="H52" s="2" t="s">
        <v>206</v>
      </c>
      <c r="I52" s="2" t="s">
        <v>420</v>
      </c>
      <c r="J52" s="2" t="s">
        <v>60</v>
      </c>
      <c r="K52" s="8">
        <f>VLOOKUP(data!H52,cover!$A:$D,3,FALSE)</f>
        <v>5</v>
      </c>
      <c r="L52" s="8">
        <f>VLOOKUP(data!H52,cover!$A:$D,4,FALSE)</f>
        <v>0</v>
      </c>
      <c r="M52" s="8" t="s">
        <v>425</v>
      </c>
      <c r="N52" s="8">
        <f>VLOOKUP($F52,'seagrass biomass'!$G:$L,2,FALSE)</f>
        <v>1230</v>
      </c>
      <c r="O52" s="8">
        <f>VLOOKUP($F52,'seagrass biomass'!$G:$L,3,FALSE)</f>
        <v>990</v>
      </c>
    </row>
    <row r="53" spans="1:18">
      <c r="A53" s="2" t="s">
        <v>120</v>
      </c>
      <c r="B53" s="2" t="s">
        <v>85</v>
      </c>
      <c r="C53" s="2" t="s">
        <v>119</v>
      </c>
      <c r="D53" s="2">
        <v>-8.6795808223525217</v>
      </c>
      <c r="E53" s="2">
        <v>40.693054745853587</v>
      </c>
      <c r="F53" s="2">
        <v>2025092</v>
      </c>
      <c r="H53" s="2" t="s">
        <v>207</v>
      </c>
      <c r="I53" s="2" t="s">
        <v>420</v>
      </c>
      <c r="J53" s="2" t="s">
        <v>60</v>
      </c>
      <c r="K53" s="8">
        <f>VLOOKUP(data!H53,cover!$A:$D,3,FALSE)</f>
        <v>4</v>
      </c>
      <c r="L53" s="8">
        <f>VLOOKUP(data!H53,cover!$A:$D,4,FALSE)</f>
        <v>0</v>
      </c>
      <c r="M53" s="8" t="s">
        <v>425</v>
      </c>
      <c r="N53" s="8">
        <f>VLOOKUP($F53,'seagrass biomass'!$G:$L,2,FALSE)</f>
        <v>992</v>
      </c>
      <c r="O53" s="8">
        <f>VLOOKUP($F53,'seagrass biomass'!$G:$L,3,FALSE)</f>
        <v>377</v>
      </c>
    </row>
    <row r="54" spans="1:18">
      <c r="A54" s="2" t="s">
        <v>121</v>
      </c>
      <c r="B54" s="2" t="s">
        <v>109</v>
      </c>
      <c r="C54" s="2" t="s">
        <v>119</v>
      </c>
      <c r="D54" s="2">
        <v>-8.6795723971338887</v>
      </c>
      <c r="E54" s="2">
        <v>40.693250555174693</v>
      </c>
      <c r="F54" s="2">
        <v>2025093</v>
      </c>
      <c r="H54" s="2" t="s">
        <v>208</v>
      </c>
      <c r="I54" s="2" t="s">
        <v>63</v>
      </c>
      <c r="J54" s="2" t="s">
        <v>60</v>
      </c>
      <c r="K54" s="8">
        <f>VLOOKUP(data!H54,cover!$A:$D,3,FALSE)</f>
        <v>5</v>
      </c>
      <c r="L54" s="8">
        <f>VLOOKUP(data!H54,cover!$A:$D,4,FALSE)</f>
        <v>0</v>
      </c>
      <c r="M54" s="8" t="s">
        <v>425</v>
      </c>
      <c r="N54" s="8">
        <f>VLOOKUP($F54,'seagrass biomass'!$G:$L,2,FALSE)</f>
        <v>1076</v>
      </c>
      <c r="O54" s="8">
        <f>VLOOKUP($F54,'seagrass biomass'!$G:$L,3,FALSE)</f>
        <v>803</v>
      </c>
    </row>
    <row r="55" spans="1:18">
      <c r="A55" s="2" t="s">
        <v>120</v>
      </c>
      <c r="B55" s="2" t="s">
        <v>86</v>
      </c>
      <c r="C55" s="2" t="s">
        <v>119</v>
      </c>
      <c r="D55" s="2">
        <v>-8.679376394974776</v>
      </c>
      <c r="E55" s="2">
        <v>40.693477448672589</v>
      </c>
      <c r="F55" s="2">
        <v>2025111</v>
      </c>
      <c r="H55" s="2" t="s">
        <v>210</v>
      </c>
      <c r="I55" s="2" t="s">
        <v>420</v>
      </c>
      <c r="J55" s="2" t="s">
        <v>60</v>
      </c>
      <c r="K55" s="8">
        <f>VLOOKUP(data!H55,cover!$A:$D,3,FALSE)</f>
        <v>5</v>
      </c>
      <c r="L55" s="8">
        <f>VLOOKUP(data!H55,cover!$A:$D,4,FALSE)</f>
        <v>0</v>
      </c>
      <c r="M55" s="8" t="s">
        <v>425</v>
      </c>
      <c r="N55" s="8" t="e">
        <f>VLOOKUP($F55,'seagrass biomass'!$G:$L,2,FALSE)</f>
        <v>#N/A</v>
      </c>
      <c r="O55" s="8" t="e">
        <f>VLOOKUP($F55,'seagrass biomass'!$G:$L,3,FALSE)</f>
        <v>#N/A</v>
      </c>
    </row>
    <row r="56" spans="1:18">
      <c r="A56" s="2" t="s">
        <v>121</v>
      </c>
      <c r="B56" s="2" t="s">
        <v>110</v>
      </c>
      <c r="C56" s="2" t="s">
        <v>119</v>
      </c>
      <c r="D56" s="2">
        <v>-8.679500151571709</v>
      </c>
      <c r="E56" s="2">
        <v>40.693606812728127</v>
      </c>
      <c r="F56" s="2">
        <v>2025112</v>
      </c>
      <c r="H56" s="2" t="s">
        <v>211</v>
      </c>
      <c r="I56" s="2" t="s">
        <v>420</v>
      </c>
      <c r="J56" s="2" t="s">
        <v>60</v>
      </c>
      <c r="K56" s="8">
        <f>VLOOKUP(data!H56,cover!$A:$D,3,FALSE)</f>
        <v>5</v>
      </c>
      <c r="L56" s="8" t="str">
        <f>VLOOKUP(data!H56,cover!$A:$D,4,FALSE)</f>
        <v>+</v>
      </c>
      <c r="M56" s="8" t="s">
        <v>425</v>
      </c>
      <c r="N56" s="8" t="e">
        <f>VLOOKUP($F56,'seagrass biomass'!$G:$L,2,FALSE)</f>
        <v>#N/A</v>
      </c>
      <c r="O56" s="8" t="e">
        <f>VLOOKUP($F56,'seagrass biomass'!$G:$L,3,FALSE)</f>
        <v>#N/A</v>
      </c>
    </row>
    <row r="57" spans="1:18">
      <c r="A57" s="2" t="s">
        <v>120</v>
      </c>
      <c r="B57" s="2" t="s">
        <v>87</v>
      </c>
      <c r="C57" s="2" t="s">
        <v>119</v>
      </c>
      <c r="D57" s="2">
        <v>-8.6791719649980745</v>
      </c>
      <c r="E57" s="2">
        <v>40.69390015108884</v>
      </c>
      <c r="F57" s="2">
        <v>2025113</v>
      </c>
      <c r="H57" s="2" t="s">
        <v>212</v>
      </c>
      <c r="I57" s="2" t="s">
        <v>420</v>
      </c>
      <c r="J57" s="2" t="s">
        <v>60</v>
      </c>
      <c r="K57" s="8">
        <f>VLOOKUP(data!H57,cover!$A:$D,3,FALSE)</f>
        <v>5</v>
      </c>
      <c r="L57" s="8">
        <f>VLOOKUP(data!H57,cover!$A:$D,4,FALSE)</f>
        <v>0</v>
      </c>
      <c r="M57" s="8" t="s">
        <v>425</v>
      </c>
      <c r="N57" s="8">
        <f>VLOOKUP($F57,'seagrass biomass'!$G:$L,2,FALSE)</f>
        <v>1876</v>
      </c>
      <c r="O57" s="8">
        <f>VLOOKUP($F57,'seagrass biomass'!$G:$L,3,FALSE)</f>
        <v>608</v>
      </c>
    </row>
    <row r="58" spans="1:18">
      <c r="A58" s="2" t="s">
        <v>120</v>
      </c>
      <c r="B58" s="2" t="s">
        <v>95</v>
      </c>
      <c r="C58" s="2" t="s">
        <v>119</v>
      </c>
      <c r="D58" s="2">
        <v>-8.6780612639143353</v>
      </c>
      <c r="E58" s="2">
        <v>40.693588943580032</v>
      </c>
      <c r="F58" s="2">
        <v>2025114</v>
      </c>
      <c r="H58" s="2" t="s">
        <v>213</v>
      </c>
      <c r="I58" s="2" t="s">
        <v>421</v>
      </c>
      <c r="J58" s="2" t="s">
        <v>60</v>
      </c>
      <c r="K58" s="8">
        <f>VLOOKUP(data!H58,cover!$A:$D,3,FALSE)</f>
        <v>0</v>
      </c>
      <c r="L58" s="8">
        <f>VLOOKUP(data!H58,cover!$A:$D,4,FALSE)</f>
        <v>0</v>
      </c>
      <c r="M58" s="8" t="s">
        <v>421</v>
      </c>
      <c r="N58" s="8" t="e">
        <f>VLOOKUP($F58,'seagrass biomass'!$G:$L,2,FALSE)</f>
        <v>#N/A</v>
      </c>
      <c r="O58" s="8" t="e">
        <f>VLOOKUP($F58,'seagrass biomass'!$G:$L,3,FALSE)</f>
        <v>#N/A</v>
      </c>
      <c r="P58" s="2">
        <v>0</v>
      </c>
      <c r="Q58" s="2" t="s">
        <v>141</v>
      </c>
      <c r="R58" s="2" t="s">
        <v>146</v>
      </c>
    </row>
    <row r="59" spans="1:18">
      <c r="A59" s="2" t="s">
        <v>120</v>
      </c>
      <c r="B59" s="2" t="s">
        <v>83</v>
      </c>
      <c r="C59" s="2" t="s">
        <v>119</v>
      </c>
      <c r="D59" s="2">
        <v>-8.6797273194385109</v>
      </c>
      <c r="E59" s="2">
        <v>40.694055750844413</v>
      </c>
      <c r="F59" s="2">
        <v>2025115</v>
      </c>
      <c r="H59" s="2" t="s">
        <v>219</v>
      </c>
      <c r="I59" s="2" t="s">
        <v>420</v>
      </c>
      <c r="J59" s="2" t="s">
        <v>60</v>
      </c>
      <c r="K59" s="8">
        <f>VLOOKUP(data!H59,cover!$A:$D,3,FALSE)</f>
        <v>5</v>
      </c>
      <c r="L59" s="8">
        <f>VLOOKUP(data!H59,cover!$A:$D,4,FALSE)</f>
        <v>0</v>
      </c>
      <c r="M59" s="8" t="s">
        <v>425</v>
      </c>
      <c r="N59" s="8">
        <f>VLOOKUP($F59,'seagrass biomass'!$G:$L,2,FALSE)</f>
        <v>3982</v>
      </c>
      <c r="O59" s="8">
        <f>VLOOKUP($F59,'seagrass biomass'!$G:$L,3,FALSE)</f>
        <v>2080</v>
      </c>
    </row>
    <row r="60" spans="1:18">
      <c r="A60" s="2" t="s">
        <v>120</v>
      </c>
      <c r="B60" s="2" t="s">
        <v>82</v>
      </c>
      <c r="C60" s="2" t="s">
        <v>119</v>
      </c>
      <c r="D60" s="2">
        <v>-8.6799317463937893</v>
      </c>
      <c r="E60" s="2">
        <v>40.693633047444727</v>
      </c>
      <c r="F60" s="2">
        <v>2025116</v>
      </c>
      <c r="H60" s="2" t="s">
        <v>220</v>
      </c>
      <c r="I60" s="2" t="s">
        <v>420</v>
      </c>
      <c r="J60" s="2" t="s">
        <v>60</v>
      </c>
      <c r="K60" s="8">
        <f>VLOOKUP(data!H60,cover!$A:$D,3,FALSE)</f>
        <v>5</v>
      </c>
      <c r="L60" s="8">
        <f>VLOOKUP(data!H60,cover!$A:$D,4,FALSE)</f>
        <v>0</v>
      </c>
      <c r="M60" s="8" t="s">
        <v>425</v>
      </c>
      <c r="N60" s="8">
        <f>VLOOKUP($F60,'seagrass biomass'!$G:$L,2,FALSE)</f>
        <v>3531</v>
      </c>
      <c r="O60" s="8">
        <f>VLOOKUP($F60,'seagrass biomass'!$G:$L,3,FALSE)</f>
        <v>2364</v>
      </c>
    </row>
    <row r="61" spans="1:18">
      <c r="A61" s="2" t="s">
        <v>121</v>
      </c>
      <c r="B61" s="2" t="s">
        <v>106</v>
      </c>
      <c r="C61" s="2" t="s">
        <v>119</v>
      </c>
      <c r="D61" s="2">
        <v>-8.6802480888500604</v>
      </c>
      <c r="E61" s="2">
        <v>40.693315201124101</v>
      </c>
      <c r="F61" s="2">
        <v>2025117</v>
      </c>
      <c r="H61" s="2" t="s">
        <v>221</v>
      </c>
      <c r="I61" s="2" t="s">
        <v>420</v>
      </c>
      <c r="J61" s="2" t="s">
        <v>60</v>
      </c>
      <c r="K61" s="8">
        <f>VLOOKUP(data!H61,cover!$A:$D,3,FALSE)</f>
        <v>5</v>
      </c>
      <c r="L61" s="8">
        <f>VLOOKUP(data!H61,cover!$A:$D,4,FALSE)</f>
        <v>0</v>
      </c>
      <c r="M61" s="8" t="s">
        <v>425</v>
      </c>
      <c r="N61" s="8">
        <f>VLOOKUP($F61,'seagrass biomass'!$G:$L,2,FALSE)</f>
        <v>750</v>
      </c>
      <c r="O61" s="8">
        <f>VLOOKUP($F61,'seagrass biomass'!$G:$L,3,FALSE)</f>
        <v>345</v>
      </c>
      <c r="P61" s="2">
        <v>100</v>
      </c>
      <c r="Q61" s="2" t="s">
        <v>142</v>
      </c>
    </row>
    <row r="62" spans="1:18">
      <c r="A62" s="2" t="s">
        <v>120</v>
      </c>
      <c r="B62" s="2" t="s">
        <v>81</v>
      </c>
      <c r="C62" s="2" t="s">
        <v>119</v>
      </c>
      <c r="D62" s="2">
        <v>-8.6801361707501616</v>
      </c>
      <c r="E62" s="2">
        <v>40.693210343642377</v>
      </c>
      <c r="F62" s="2">
        <v>2025118</v>
      </c>
      <c r="H62" s="2" t="s">
        <v>222</v>
      </c>
      <c r="I62" s="2" t="s">
        <v>420</v>
      </c>
      <c r="J62" s="2" t="s">
        <v>60</v>
      </c>
      <c r="K62" s="8">
        <f>VLOOKUP(data!H62,cover!$A:$D,3,FALSE)</f>
        <v>5</v>
      </c>
      <c r="L62" s="8">
        <f>VLOOKUP(data!H62,cover!$A:$D,4,FALSE)</f>
        <v>0</v>
      </c>
      <c r="M62" s="8" t="s">
        <v>425</v>
      </c>
      <c r="N62" s="8" t="e">
        <f>VLOOKUP($F62,'seagrass biomass'!$G:$L,2,FALSE)</f>
        <v>#N/A</v>
      </c>
      <c r="O62" s="8" t="e">
        <f>VLOOKUP($F62,'seagrass biomass'!$G:$L,3,FALSE)</f>
        <v>#N/A</v>
      </c>
      <c r="P62" s="2">
        <v>100</v>
      </c>
      <c r="Q62" s="2" t="s">
        <v>137</v>
      </c>
    </row>
    <row r="63" spans="1:18">
      <c r="A63" s="2" t="s">
        <v>120</v>
      </c>
      <c r="B63" s="2" t="s">
        <v>88</v>
      </c>
      <c r="C63" s="2" t="s">
        <v>119</v>
      </c>
      <c r="D63" s="2">
        <v>-8.6792299043538836</v>
      </c>
      <c r="E63" s="2">
        <v>40.692476443160587</v>
      </c>
      <c r="F63" s="2">
        <v>2025119</v>
      </c>
      <c r="H63" s="2" t="s">
        <v>218</v>
      </c>
      <c r="I63" s="2" t="s">
        <v>420</v>
      </c>
      <c r="J63" s="2" t="s">
        <v>60</v>
      </c>
      <c r="K63" s="8">
        <f>VLOOKUP(data!H63,cover!$A:$D,3,FALSE)</f>
        <v>5</v>
      </c>
      <c r="L63" s="8">
        <f>VLOOKUP(data!H63,cover!$A:$D,4,FALSE)</f>
        <v>0</v>
      </c>
      <c r="M63" s="8" t="s">
        <v>425</v>
      </c>
      <c r="N63" s="8">
        <f>VLOOKUP($F63,'seagrass biomass'!$G:$L,2,FALSE)</f>
        <v>754</v>
      </c>
      <c r="O63" s="8">
        <f>VLOOKUP($F63,'seagrass biomass'!$G:$L,3,FALSE)</f>
        <v>582</v>
      </c>
      <c r="P63" s="2">
        <v>100</v>
      </c>
      <c r="Q63" s="2" t="s">
        <v>138</v>
      </c>
    </row>
    <row r="64" spans="1:18">
      <c r="A64" s="2" t="s">
        <v>120</v>
      </c>
      <c r="B64" s="2" t="s">
        <v>92</v>
      </c>
      <c r="C64" s="2" t="s">
        <v>119</v>
      </c>
      <c r="D64" s="2">
        <v>-8.6786745641752052</v>
      </c>
      <c r="E64" s="2">
        <v>40.692320841023538</v>
      </c>
      <c r="F64" s="2">
        <v>2025120</v>
      </c>
      <c r="H64" s="2" t="s">
        <v>217</v>
      </c>
      <c r="I64" s="2" t="s">
        <v>421</v>
      </c>
      <c r="J64" s="2" t="s">
        <v>57</v>
      </c>
      <c r="K64" s="8">
        <f>VLOOKUP(data!H64,cover!$A:$D,3,FALSE)</f>
        <v>0</v>
      </c>
      <c r="L64" s="8" t="str">
        <f>VLOOKUP(data!H64,cover!$A:$D,4,FALSE)</f>
        <v>+</v>
      </c>
      <c r="M64" s="8" t="s">
        <v>421</v>
      </c>
      <c r="N64" s="8">
        <f>VLOOKUP($F64,'seagrass biomass'!$G:$L,2,FALSE)</f>
        <v>12</v>
      </c>
      <c r="O64" s="8">
        <f>VLOOKUP($F64,'seagrass biomass'!$G:$L,3,FALSE)</f>
        <v>118</v>
      </c>
      <c r="R64" s="2" t="s">
        <v>153</v>
      </c>
    </row>
    <row r="65" spans="1:18">
      <c r="A65" s="2" t="s">
        <v>120</v>
      </c>
      <c r="B65" s="2" t="s">
        <v>93</v>
      </c>
      <c r="C65" s="2" t="s">
        <v>119</v>
      </c>
      <c r="D65" s="2">
        <v>-8.6784701333539047</v>
      </c>
      <c r="E65" s="2">
        <v>40.692743542278471</v>
      </c>
      <c r="F65" s="2">
        <v>2025121</v>
      </c>
      <c r="H65" s="2" t="s">
        <v>216</v>
      </c>
      <c r="I65" s="2" t="s">
        <v>421</v>
      </c>
      <c r="J65" s="2" t="s">
        <v>60</v>
      </c>
      <c r="K65" s="8">
        <f>VLOOKUP(data!H65,cover!$A:$D,3,FALSE)</f>
        <v>0</v>
      </c>
      <c r="L65" s="8" t="str">
        <f>VLOOKUP(data!H65,cover!$A:$D,4,FALSE)</f>
        <v>+</v>
      </c>
      <c r="M65" s="8" t="s">
        <v>421</v>
      </c>
      <c r="N65" s="8">
        <f>VLOOKUP($F65,'seagrass biomass'!$G:$L,2,FALSE)</f>
        <v>0</v>
      </c>
      <c r="O65" s="8">
        <f>VLOOKUP($F65,'seagrass biomass'!$G:$L,3,FALSE)</f>
        <v>0</v>
      </c>
      <c r="P65" s="2">
        <v>0</v>
      </c>
      <c r="Q65" s="2" t="s">
        <v>139</v>
      </c>
    </row>
    <row r="66" spans="1:18">
      <c r="A66" s="2" t="s">
        <v>121</v>
      </c>
      <c r="B66" s="2" t="s">
        <v>115</v>
      </c>
      <c r="C66" s="2" t="s">
        <v>119</v>
      </c>
      <c r="D66" s="2">
        <v>-8.6785131647526086</v>
      </c>
      <c r="E66" s="2">
        <v>40.692871757557093</v>
      </c>
      <c r="F66" s="2">
        <v>2025122</v>
      </c>
      <c r="H66" s="2" t="s">
        <v>215</v>
      </c>
      <c r="I66" s="2" t="s">
        <v>420</v>
      </c>
      <c r="J66" s="2" t="s">
        <v>60</v>
      </c>
      <c r="K66" s="8">
        <f>VLOOKUP(data!H66,cover!$A:$D,3,FALSE)</f>
        <v>5</v>
      </c>
      <c r="L66" s="8">
        <f>VLOOKUP(data!H66,cover!$A:$D,4,FALSE)</f>
        <v>0</v>
      </c>
      <c r="M66" s="8" t="s">
        <v>425</v>
      </c>
      <c r="N66" s="8">
        <f>VLOOKUP($F66,'seagrass biomass'!$G:$L,2,FALSE)</f>
        <v>2650</v>
      </c>
      <c r="O66" s="8">
        <f>VLOOKUP($F66,'seagrass biomass'!$G:$L,3,FALSE)</f>
        <v>1147</v>
      </c>
      <c r="P66" s="2">
        <v>100</v>
      </c>
      <c r="Q66" s="2" t="s">
        <v>144</v>
      </c>
    </row>
    <row r="67" spans="1:18">
      <c r="A67" s="2" t="s">
        <v>120</v>
      </c>
      <c r="B67" s="2" t="s">
        <v>94</v>
      </c>
      <c r="C67" s="2" t="s">
        <v>119</v>
      </c>
      <c r="D67" s="2">
        <v>-8.6782656999336396</v>
      </c>
      <c r="E67" s="2">
        <v>40.693166243130648</v>
      </c>
      <c r="F67" s="2">
        <v>2025123</v>
      </c>
      <c r="H67" s="2" t="s">
        <v>214</v>
      </c>
      <c r="I67" s="2" t="s">
        <v>421</v>
      </c>
      <c r="J67" s="2" t="s">
        <v>60</v>
      </c>
      <c r="K67" s="8">
        <f>VLOOKUP(data!H67,cover!$A:$D,3,FALSE)</f>
        <v>0</v>
      </c>
      <c r="L67" s="8">
        <f>VLOOKUP(data!H67,cover!$A:$D,4,FALSE)</f>
        <v>0</v>
      </c>
      <c r="M67" s="8" t="s">
        <v>421</v>
      </c>
      <c r="N67" s="8">
        <f>VLOOKUP($F67,'seagrass biomass'!$G:$L,2,FALSE)</f>
        <v>0</v>
      </c>
      <c r="O67" s="8">
        <f>VLOOKUP($F67,'seagrass biomass'!$G:$L,3,FALSE)</f>
        <v>0</v>
      </c>
      <c r="P67" s="2">
        <v>0</v>
      </c>
      <c r="Q67" s="2" t="s">
        <v>140</v>
      </c>
      <c r="R67" s="2" t="s">
        <v>146</v>
      </c>
    </row>
    <row r="68" spans="1:18">
      <c r="A68" s="2" t="s">
        <v>121</v>
      </c>
      <c r="B68" s="2" t="s">
        <v>112</v>
      </c>
      <c r="C68" s="2" t="s">
        <v>119</v>
      </c>
      <c r="D68" s="2">
        <v>-8.6793569347963579</v>
      </c>
      <c r="E68" s="2">
        <v>40.69313871123439</v>
      </c>
      <c r="F68" s="2">
        <v>2025124</v>
      </c>
      <c r="H68" s="2" t="s">
        <v>209</v>
      </c>
      <c r="I68" s="2" t="s">
        <v>420</v>
      </c>
      <c r="J68" s="2" t="s">
        <v>60</v>
      </c>
      <c r="K68" s="8">
        <f>VLOOKUP(data!H68,cover!$A:$D,3,FALSE)</f>
        <v>5</v>
      </c>
      <c r="L68" s="8">
        <f>VLOOKUP(data!H68,cover!$A:$D,4,FALSE)</f>
        <v>0</v>
      </c>
      <c r="M68" s="8" t="s">
        <v>425</v>
      </c>
      <c r="N68" s="8">
        <f>VLOOKUP($F68,'seagrass biomass'!$G:$L,2,FALSE)</f>
        <v>2564</v>
      </c>
      <c r="O68" s="8">
        <f>VLOOKUP($F68,'seagrass biomass'!$G:$L,3,FALSE)</f>
        <v>2102</v>
      </c>
    </row>
    <row r="69" spans="1:18">
      <c r="A69" s="2" t="s">
        <v>121</v>
      </c>
      <c r="B69" s="2" t="s">
        <v>105</v>
      </c>
      <c r="C69" s="2" t="s">
        <v>119</v>
      </c>
      <c r="D69" s="2">
        <v>-8.6806002699387559</v>
      </c>
      <c r="E69" s="2">
        <v>40.692889303471297</v>
      </c>
      <c r="F69" s="2">
        <v>2025125</v>
      </c>
      <c r="H69" s="2" t="s">
        <v>223</v>
      </c>
      <c r="I69" s="2" t="s">
        <v>420</v>
      </c>
      <c r="J69" s="2" t="s">
        <v>60</v>
      </c>
      <c r="K69" s="8">
        <f>VLOOKUP(data!H69,cover!$A:$D,3,FALSE)</f>
        <v>5</v>
      </c>
      <c r="L69" s="8">
        <f>VLOOKUP(data!H69,cover!$A:$D,4,FALSE)</f>
        <v>0</v>
      </c>
      <c r="M69" s="8" t="s">
        <v>425</v>
      </c>
      <c r="N69" s="8">
        <f>VLOOKUP($F69,'seagrass biomass'!$G:$L,2,FALSE)</f>
        <v>1891</v>
      </c>
      <c r="O69" s="8">
        <f>VLOOKUP($F69,'seagrass biomass'!$G:$L,3,FALSE)</f>
        <v>891</v>
      </c>
    </row>
    <row r="70" spans="1:18">
      <c r="A70" s="2" t="s">
        <v>120</v>
      </c>
      <c r="B70" s="2" t="s">
        <v>76</v>
      </c>
      <c r="C70" s="2" t="s">
        <v>119</v>
      </c>
      <c r="D70" s="2">
        <v>-8.680895940482765</v>
      </c>
      <c r="E70" s="2">
        <v>40.692943233576912</v>
      </c>
      <c r="F70" s="2">
        <v>2025126</v>
      </c>
      <c r="H70" s="2" t="s">
        <v>225</v>
      </c>
      <c r="I70" s="2" t="s">
        <v>420</v>
      </c>
      <c r="J70" s="2" t="s">
        <v>60</v>
      </c>
      <c r="K70" s="8">
        <f>VLOOKUP(data!H70,cover!$A:$D,3,FALSE)</f>
        <v>5</v>
      </c>
      <c r="L70" s="8">
        <f>VLOOKUP(data!H70,cover!$A:$D,4,FALSE)</f>
        <v>0</v>
      </c>
      <c r="M70" s="8" t="s">
        <v>425</v>
      </c>
      <c r="N70" s="8">
        <f>VLOOKUP($F70,'seagrass biomass'!$G:$L,2,FALSE)</f>
        <v>2057</v>
      </c>
      <c r="O70" s="8">
        <f>VLOOKUP($F70,'seagrass biomass'!$G:$L,3,FALSE)</f>
        <v>1686</v>
      </c>
    </row>
    <row r="71" spans="1:18">
      <c r="A71" s="2" t="s">
        <v>121</v>
      </c>
      <c r="B71" s="2" t="s">
        <v>102</v>
      </c>
      <c r="C71" s="2" t="s">
        <v>119</v>
      </c>
      <c r="D71" s="2">
        <v>-8.6807898946885604</v>
      </c>
      <c r="E71" s="2">
        <v>40.693234831962783</v>
      </c>
      <c r="F71" s="2">
        <v>2025127</v>
      </c>
      <c r="H71" s="2" t="s">
        <v>226</v>
      </c>
      <c r="I71" s="2" t="s">
        <v>420</v>
      </c>
      <c r="J71" s="2" t="s">
        <v>60</v>
      </c>
      <c r="K71" s="8">
        <f>VLOOKUP(data!H71,cover!$A:$D,3,FALSE)</f>
        <v>5</v>
      </c>
      <c r="L71" s="8">
        <f>VLOOKUP(data!H71,cover!$A:$D,4,FALSE)</f>
        <v>0</v>
      </c>
      <c r="M71" s="8" t="s">
        <v>425</v>
      </c>
      <c r="N71" s="8">
        <f>VLOOKUP($F71,'seagrass biomass'!$G:$L,2,FALSE)</f>
        <v>926</v>
      </c>
      <c r="O71" s="8">
        <f>VLOOKUP($F71,'seagrass biomass'!$G:$L,3,FALSE)</f>
        <v>1187</v>
      </c>
    </row>
    <row r="72" spans="1:18">
      <c r="A72" s="2" t="s">
        <v>120</v>
      </c>
      <c r="B72" s="2" t="s">
        <v>77</v>
      </c>
      <c r="C72" s="2" t="s">
        <v>119</v>
      </c>
      <c r="D72" s="2">
        <v>-8.6806915217466312</v>
      </c>
      <c r="E72" s="2">
        <v>40.693365938765282</v>
      </c>
      <c r="F72" s="2">
        <v>2025128</v>
      </c>
      <c r="H72" s="2" t="s">
        <v>227</v>
      </c>
      <c r="I72" s="2" t="s">
        <v>420</v>
      </c>
      <c r="J72" s="2" t="s">
        <v>60</v>
      </c>
      <c r="K72" s="8">
        <f>VLOOKUP(data!H72,cover!$A:$D,3,FALSE)</f>
        <v>5</v>
      </c>
      <c r="L72" s="8">
        <f>VLOOKUP(data!H72,cover!$A:$D,4,FALSE)</f>
        <v>0</v>
      </c>
      <c r="M72" s="8" t="s">
        <v>425</v>
      </c>
      <c r="N72" s="8">
        <f>VLOOKUP($F72,'seagrass biomass'!$G:$L,2,FALSE)</f>
        <v>2434</v>
      </c>
      <c r="O72" s="8">
        <f>VLOOKUP($F72,'seagrass biomass'!$G:$L,3,FALSE)</f>
        <v>1076</v>
      </c>
    </row>
    <row r="73" spans="1:18">
      <c r="A73" s="2" t="s">
        <v>120</v>
      </c>
      <c r="B73" s="2" t="s">
        <v>78</v>
      </c>
      <c r="C73" s="2" t="s">
        <v>119</v>
      </c>
      <c r="D73" s="2">
        <v>-8.6804871004117139</v>
      </c>
      <c r="E73" s="2">
        <v>40.693788643550988</v>
      </c>
      <c r="F73" s="2">
        <v>2025129</v>
      </c>
      <c r="H73" s="2" t="s">
        <v>228</v>
      </c>
      <c r="I73" s="2" t="s">
        <v>420</v>
      </c>
      <c r="J73" s="2" t="s">
        <v>60</v>
      </c>
      <c r="K73" s="8">
        <f>VLOOKUP(data!H73,cover!$A:$D,3,FALSE)</f>
        <v>5</v>
      </c>
      <c r="L73" s="8">
        <f>VLOOKUP(data!H73,cover!$A:$D,4,FALSE)</f>
        <v>0</v>
      </c>
      <c r="M73" s="8" t="s">
        <v>425</v>
      </c>
      <c r="N73" s="8" t="e">
        <f>VLOOKUP($F73,'seagrass biomass'!$G:$L,2,FALSE)</f>
        <v>#N/A</v>
      </c>
      <c r="O73" s="8" t="e">
        <f>VLOOKUP($F73,'seagrass biomass'!$G:$L,3,FALSE)</f>
        <v>#N/A</v>
      </c>
      <c r="P73" s="2">
        <v>100</v>
      </c>
      <c r="Q73" s="2" t="s">
        <v>135</v>
      </c>
    </row>
    <row r="74" spans="1:18">
      <c r="A74" s="2" t="s">
        <v>121</v>
      </c>
      <c r="B74" s="2" t="s">
        <v>107</v>
      </c>
      <c r="C74" s="2" t="s">
        <v>119</v>
      </c>
      <c r="D74" s="2">
        <v>-8.680218164835722</v>
      </c>
      <c r="E74" s="2">
        <v>40.693896024574173</v>
      </c>
      <c r="F74" s="2">
        <v>2025130</v>
      </c>
      <c r="H74" s="2" t="s">
        <v>229</v>
      </c>
      <c r="I74" s="2" t="s">
        <v>421</v>
      </c>
      <c r="J74" s="2" t="s">
        <v>60</v>
      </c>
      <c r="K74" s="8">
        <f>VLOOKUP(data!H74,cover!$A:$D,3,FALSE)</f>
        <v>0</v>
      </c>
      <c r="L74" s="8">
        <f>VLOOKUP(data!H74,cover!$A:$D,4,FALSE)</f>
        <v>0</v>
      </c>
      <c r="M74" s="8" t="s">
        <v>421</v>
      </c>
      <c r="N74" s="8">
        <f>VLOOKUP($F74,'seagrass biomass'!$G:$L,2,FALSE)</f>
        <v>0</v>
      </c>
      <c r="O74" s="8">
        <f>VLOOKUP($F74,'seagrass biomass'!$G:$L,3,FALSE)</f>
        <v>125</v>
      </c>
      <c r="P74" s="2">
        <v>0</v>
      </c>
      <c r="Q74" s="2" t="s">
        <v>143</v>
      </c>
    </row>
    <row r="75" spans="1:18">
      <c r="A75" s="2" t="s">
        <v>120</v>
      </c>
      <c r="B75" s="2" t="s">
        <v>79</v>
      </c>
      <c r="C75" s="2" t="s">
        <v>119</v>
      </c>
      <c r="D75" s="2">
        <v>-8.6802826764779333</v>
      </c>
      <c r="E75" s="2">
        <v>40.694211347934029</v>
      </c>
      <c r="F75" s="2">
        <v>2025131</v>
      </c>
      <c r="H75" s="2" t="s">
        <v>230</v>
      </c>
      <c r="I75" s="2" t="s">
        <v>420</v>
      </c>
      <c r="J75" s="2" t="s">
        <v>60</v>
      </c>
      <c r="K75" s="8">
        <f>VLOOKUP(data!H75,cover!$A:$D,3,FALSE)</f>
        <v>5</v>
      </c>
      <c r="L75" s="8">
        <f>VLOOKUP(data!H75,cover!$A:$D,4,FALSE)</f>
        <v>0</v>
      </c>
      <c r="M75" s="8" t="s">
        <v>425</v>
      </c>
      <c r="N75" s="8" t="e">
        <f>VLOOKUP($F75,'seagrass biomass'!$G:$L,2,FALSE)</f>
        <v>#N/A</v>
      </c>
      <c r="O75" s="8" t="e">
        <f>VLOOKUP($F75,'seagrass biomass'!$G:$L,3,FALSE)</f>
        <v>#N/A</v>
      </c>
      <c r="P75" s="2">
        <v>100</v>
      </c>
      <c r="Q75" s="2" t="s">
        <v>136</v>
      </c>
    </row>
    <row r="76" spans="1:18">
      <c r="A76" s="2" t="s">
        <v>120</v>
      </c>
      <c r="B76" s="2" t="s">
        <v>75</v>
      </c>
      <c r="C76" s="2" t="s">
        <v>119</v>
      </c>
      <c r="D76" s="2">
        <v>-8.6808380361162971</v>
      </c>
      <c r="E76" s="2">
        <v>40.694366942357632</v>
      </c>
      <c r="F76" s="2">
        <v>2025132</v>
      </c>
      <c r="H76" s="2" t="s">
        <v>231</v>
      </c>
      <c r="I76" s="2" t="s">
        <v>420</v>
      </c>
      <c r="J76" s="2" t="s">
        <v>60</v>
      </c>
      <c r="K76" s="8">
        <f>VLOOKUP(data!H76,cover!$A:$D,3,FALSE)</f>
        <v>5</v>
      </c>
      <c r="L76" s="8">
        <f>VLOOKUP(data!H76,cover!$A:$D,4,FALSE)</f>
        <v>0</v>
      </c>
      <c r="M76" s="8" t="s">
        <v>425</v>
      </c>
      <c r="N76" s="8">
        <f>VLOOKUP($F76,'seagrass biomass'!$G:$L,2,FALSE)</f>
        <v>821</v>
      </c>
      <c r="O76" s="8">
        <f>VLOOKUP($F76,'seagrass biomass'!$G:$L,3,FALSE)</f>
        <v>561</v>
      </c>
      <c r="P76" s="2">
        <v>100</v>
      </c>
      <c r="Q76" s="2" t="s">
        <v>145</v>
      </c>
    </row>
    <row r="77" spans="1:18">
      <c r="A77" s="2" t="s">
        <v>121</v>
      </c>
      <c r="B77" s="2" t="s">
        <v>104</v>
      </c>
      <c r="C77" s="2" t="s">
        <v>119</v>
      </c>
      <c r="D77" s="2">
        <v>-8.6809415141559256</v>
      </c>
      <c r="E77" s="2">
        <v>40.694132565412772</v>
      </c>
      <c r="F77" s="2">
        <v>2025133</v>
      </c>
      <c r="H77" s="2" t="s">
        <v>232</v>
      </c>
      <c r="I77" s="2" t="s">
        <v>420</v>
      </c>
      <c r="J77" s="2" t="s">
        <v>60</v>
      </c>
      <c r="K77" s="8">
        <f>VLOOKUP(data!H77,cover!$A:$D,3,FALSE)</f>
        <v>5</v>
      </c>
      <c r="L77" s="8">
        <f>VLOOKUP(data!H77,cover!$A:$D,4,FALSE)</f>
        <v>0</v>
      </c>
      <c r="M77" s="8" t="s">
        <v>425</v>
      </c>
      <c r="N77" s="8">
        <f>VLOOKUP($F77,'seagrass biomass'!$G:$L,2,FALSE)</f>
        <v>951</v>
      </c>
      <c r="O77" s="8">
        <f>VLOOKUP($F77,'seagrass biomass'!$G:$L,3,FALSE)</f>
        <v>578</v>
      </c>
    </row>
    <row r="78" spans="1:18">
      <c r="A78" s="2" t="s">
        <v>121</v>
      </c>
      <c r="B78" s="2" t="s">
        <v>100</v>
      </c>
      <c r="C78" s="2" t="s">
        <v>119</v>
      </c>
      <c r="D78" s="2">
        <v>-8.6811687788549321</v>
      </c>
      <c r="E78" s="2">
        <v>40.693955148538137</v>
      </c>
      <c r="F78" s="2">
        <v>2025134</v>
      </c>
      <c r="H78" s="2" t="s">
        <v>233</v>
      </c>
      <c r="I78" s="2" t="s">
        <v>422</v>
      </c>
      <c r="J78" s="2" t="s">
        <v>60</v>
      </c>
      <c r="K78" s="8">
        <f>VLOOKUP(data!H78,cover!$A:$D,3,FALSE)</f>
        <v>3</v>
      </c>
      <c r="L78" s="8">
        <f>VLOOKUP(data!H78,cover!$A:$D,4,FALSE)</f>
        <v>2</v>
      </c>
      <c r="M78" s="8" t="s">
        <v>422</v>
      </c>
      <c r="N78" s="8">
        <f>VLOOKUP($F78,'seagrass biomass'!$G:$L,2,FALSE)</f>
        <v>12</v>
      </c>
      <c r="O78" s="8">
        <f>VLOOKUP($F78,'seagrass biomass'!$G:$L,3,FALSE)</f>
        <v>0</v>
      </c>
    </row>
    <row r="79" spans="1:18">
      <c r="A79" s="2" t="s">
        <v>120</v>
      </c>
      <c r="B79" s="2" t="s">
        <v>74</v>
      </c>
      <c r="C79" s="2" t="s">
        <v>119</v>
      </c>
      <c r="D79" s="2">
        <v>-8.6810424570285019</v>
      </c>
      <c r="E79" s="2">
        <v>40.69394423699125</v>
      </c>
      <c r="F79" s="2">
        <v>2025135</v>
      </c>
      <c r="H79" s="2" t="s">
        <v>235</v>
      </c>
      <c r="I79" s="2" t="s">
        <v>421</v>
      </c>
      <c r="J79" s="2" t="s">
        <v>60</v>
      </c>
      <c r="K79" s="8">
        <f>VLOOKUP(data!H79,cover!$A:$D,3,FALSE)</f>
        <v>0</v>
      </c>
      <c r="L79" s="8">
        <f>VLOOKUP(data!H79,cover!$A:$D,4,FALSE)</f>
        <v>0</v>
      </c>
      <c r="M79" s="8" t="s">
        <v>421</v>
      </c>
      <c r="N79" s="8" t="e">
        <f>VLOOKUP($F79,'seagrass biomass'!$G:$L,2,FALSE)</f>
        <v>#N/A</v>
      </c>
      <c r="O79" s="8" t="e">
        <f>VLOOKUP($F79,'seagrass biomass'!$G:$L,3,FALSE)</f>
        <v>#N/A</v>
      </c>
    </row>
    <row r="80" spans="1:18">
      <c r="A80" s="2" t="s">
        <v>121</v>
      </c>
      <c r="B80" s="2" t="s">
        <v>103</v>
      </c>
      <c r="C80" s="2" t="s">
        <v>119</v>
      </c>
      <c r="D80" s="2">
        <v>-8.6809817953040636</v>
      </c>
      <c r="E80" s="2">
        <v>40.693613677832673</v>
      </c>
      <c r="F80" s="2">
        <v>2025136</v>
      </c>
      <c r="H80" s="2" t="s">
        <v>236</v>
      </c>
      <c r="I80" s="2" t="s">
        <v>420</v>
      </c>
      <c r="J80" s="2" t="s">
        <v>60</v>
      </c>
      <c r="K80" s="8">
        <f>VLOOKUP(data!H80,cover!$A:$D,3,FALSE)</f>
        <v>5</v>
      </c>
      <c r="L80" s="8">
        <f>VLOOKUP(data!H80,cover!$A:$D,4,FALSE)</f>
        <v>0</v>
      </c>
      <c r="M80" s="8" t="s">
        <v>425</v>
      </c>
      <c r="N80" s="8" t="e">
        <f>VLOOKUP($F80,'seagrass biomass'!$G:$L,2,FALSE)</f>
        <v>#N/A</v>
      </c>
      <c r="O80" s="8" t="e">
        <f>VLOOKUP($F80,'seagrass biomass'!$G:$L,3,FALSE)</f>
        <v>#N/A</v>
      </c>
    </row>
    <row r="81" spans="1:18">
      <c r="A81" s="2" t="s">
        <v>120</v>
      </c>
      <c r="B81" s="2" t="s">
        <v>73</v>
      </c>
      <c r="C81" s="2" t="s">
        <v>119</v>
      </c>
      <c r="D81" s="2">
        <v>-8.6812468753418877</v>
      </c>
      <c r="E81" s="2">
        <v>40.693521531222231</v>
      </c>
      <c r="F81" s="2">
        <v>2025137</v>
      </c>
      <c r="H81" s="2" t="s">
        <v>237</v>
      </c>
      <c r="I81" s="2" t="s">
        <v>420</v>
      </c>
      <c r="J81" s="2" t="s">
        <v>60</v>
      </c>
      <c r="K81" s="8">
        <f>VLOOKUP(data!H81,cover!$A:$D,3,FALSE)</f>
        <v>5</v>
      </c>
      <c r="L81" s="8">
        <f>VLOOKUP(data!H81,cover!$A:$D,4,FALSE)</f>
        <v>0</v>
      </c>
      <c r="M81" s="8" t="s">
        <v>425</v>
      </c>
      <c r="N81" s="8">
        <f>VLOOKUP($F81,'seagrass biomass'!$G:$L,2,FALSE)</f>
        <v>1476</v>
      </c>
      <c r="O81" s="8">
        <f>VLOOKUP($F81,'seagrass biomass'!$G:$L,3,FALSE)</f>
        <v>1194</v>
      </c>
    </row>
    <row r="82" spans="1:18">
      <c r="A82" s="2" t="s">
        <v>121</v>
      </c>
      <c r="B82" s="2" t="s">
        <v>99</v>
      </c>
      <c r="C82" s="2" t="s">
        <v>119</v>
      </c>
      <c r="D82" s="2">
        <v>-8.6814587951708617</v>
      </c>
      <c r="E82" s="2">
        <v>40.693563920558177</v>
      </c>
      <c r="F82" s="2">
        <v>2025138</v>
      </c>
      <c r="H82" s="2" t="s">
        <v>238</v>
      </c>
      <c r="I82" s="2" t="s">
        <v>420</v>
      </c>
      <c r="J82" s="2" t="s">
        <v>60</v>
      </c>
      <c r="K82" s="8">
        <f>VLOOKUP(data!H82,cover!$A:$D,3,FALSE)</f>
        <v>5</v>
      </c>
      <c r="L82" s="8">
        <f>VLOOKUP(data!H82,cover!$A:$D,4,FALSE)</f>
        <v>0</v>
      </c>
      <c r="M82" s="8" t="s">
        <v>425</v>
      </c>
      <c r="N82" s="8">
        <f>VLOOKUP($F82,'seagrass biomass'!$G:$L,2,FALSE)</f>
        <v>1220</v>
      </c>
      <c r="O82" s="8">
        <f>VLOOKUP($F82,'seagrass biomass'!$G:$L,3,FALSE)</f>
        <v>2529</v>
      </c>
    </row>
    <row r="83" spans="1:18">
      <c r="A83" s="2" t="s">
        <v>120</v>
      </c>
      <c r="B83" s="2" t="s">
        <v>68</v>
      </c>
      <c r="C83" s="2" t="s">
        <v>119</v>
      </c>
      <c r="D83" s="2">
        <v>-8.6820066442289558</v>
      </c>
      <c r="E83" s="2">
        <v>40.693254413858291</v>
      </c>
      <c r="F83" s="2">
        <v>2025139</v>
      </c>
      <c r="H83" s="2" t="s">
        <v>239</v>
      </c>
      <c r="I83" s="2" t="s">
        <v>420</v>
      </c>
      <c r="J83" s="2" t="s">
        <v>60</v>
      </c>
      <c r="K83" s="8">
        <f>VLOOKUP(data!H83,cover!$A:$D,3,FALSE)</f>
        <v>5</v>
      </c>
      <c r="L83" s="8">
        <f>VLOOKUP(data!H83,cover!$A:$D,4,FALSE)</f>
        <v>0</v>
      </c>
      <c r="M83" s="8" t="s">
        <v>425</v>
      </c>
      <c r="N83" s="8" t="e">
        <f>VLOOKUP($F83,'seagrass biomass'!$G:$L,2,FALSE)</f>
        <v>#N/A</v>
      </c>
      <c r="O83" s="8" t="e">
        <f>VLOOKUP($F83,'seagrass biomass'!$G:$L,3,FALSE)</f>
        <v>#N/A</v>
      </c>
    </row>
    <row r="84" spans="1:18">
      <c r="A84" s="2" t="s">
        <v>120</v>
      </c>
      <c r="B84" s="2" t="s">
        <v>69</v>
      </c>
      <c r="C84" s="2" t="s">
        <v>119</v>
      </c>
      <c r="D84" s="2">
        <v>-8.6818022315358814</v>
      </c>
      <c r="E84" s="2">
        <v>40.693677121013202</v>
      </c>
      <c r="F84" s="2">
        <v>2025140</v>
      </c>
      <c r="H84" s="2" t="s">
        <v>240</v>
      </c>
      <c r="I84" s="2" t="s">
        <v>420</v>
      </c>
      <c r="J84" s="2" t="s">
        <v>60</v>
      </c>
      <c r="K84" s="8">
        <f>VLOOKUP(data!H84,cover!$A:$D,3,FALSE)</f>
        <v>5</v>
      </c>
      <c r="L84" s="8">
        <f>VLOOKUP(data!H84,cover!$A:$D,4,FALSE)</f>
        <v>0</v>
      </c>
      <c r="M84" s="8" t="s">
        <v>425</v>
      </c>
      <c r="N84" s="8">
        <f>VLOOKUP($F84,'seagrass biomass'!$G:$L,2,FALSE)</f>
        <v>1415</v>
      </c>
      <c r="O84" s="8">
        <f>VLOOKUP($F84,'seagrass biomass'!$G:$L,3,FALSE)</f>
        <v>833</v>
      </c>
    </row>
    <row r="85" spans="1:18">
      <c r="A85" s="2" t="s">
        <v>120</v>
      </c>
      <c r="B85" s="2" t="s">
        <v>70</v>
      </c>
      <c r="C85" s="2" t="s">
        <v>119</v>
      </c>
      <c r="D85" s="2">
        <v>-8.6815978162441088</v>
      </c>
      <c r="E85" s="2">
        <v>40.694099827765491</v>
      </c>
      <c r="F85" s="2">
        <v>2025141</v>
      </c>
      <c r="H85" s="2" t="s">
        <v>241</v>
      </c>
      <c r="I85" s="2" t="s">
        <v>420</v>
      </c>
      <c r="J85" s="2" t="s">
        <v>60</v>
      </c>
      <c r="K85" s="8">
        <f>VLOOKUP(data!H85,cover!$A:$D,3,FALSE)</f>
        <v>5</v>
      </c>
      <c r="L85" s="8">
        <f>VLOOKUP(data!H85,cover!$A:$D,4,FALSE)</f>
        <v>0</v>
      </c>
      <c r="M85" s="8" t="s">
        <v>425</v>
      </c>
      <c r="N85" s="8">
        <f>VLOOKUP($F85,'seagrass biomass'!$G:$L,2,FALSE)</f>
        <v>1552</v>
      </c>
      <c r="O85" s="8">
        <f>VLOOKUP($F85,'seagrass biomass'!$G:$L,3,FALSE)</f>
        <v>561</v>
      </c>
    </row>
    <row r="86" spans="1:18">
      <c r="A86" s="2" t="s">
        <v>120</v>
      </c>
      <c r="B86" s="2" t="s">
        <v>71</v>
      </c>
      <c r="C86" s="2" t="s">
        <v>119</v>
      </c>
      <c r="D86" s="2">
        <v>-8.6813933983535598</v>
      </c>
      <c r="E86" s="2">
        <v>40.694522534115187</v>
      </c>
      <c r="F86" s="2">
        <v>2025142</v>
      </c>
      <c r="H86" s="2" t="s">
        <v>242</v>
      </c>
      <c r="I86" s="2" t="s">
        <v>420</v>
      </c>
      <c r="J86" s="2" t="s">
        <v>60</v>
      </c>
      <c r="K86" s="8">
        <f>VLOOKUP(data!H86,cover!$A:$D,3,FALSE)</f>
        <v>5</v>
      </c>
      <c r="L86" s="8">
        <f>VLOOKUP(data!H86,cover!$A:$D,4,FALSE)</f>
        <v>0</v>
      </c>
      <c r="M86" s="8" t="s">
        <v>425</v>
      </c>
      <c r="N86" s="8">
        <f>VLOOKUP($F86,'seagrass biomass'!$G:$L,2,FALSE)</f>
        <v>2799</v>
      </c>
      <c r="O86" s="8">
        <f>VLOOKUP($F86,'seagrass biomass'!$G:$L,3,FALSE)</f>
        <v>1299</v>
      </c>
    </row>
    <row r="87" spans="1:18">
      <c r="A87" s="2" t="s">
        <v>120</v>
      </c>
      <c r="B87" s="2" t="s">
        <v>21</v>
      </c>
      <c r="C87" s="2" t="s">
        <v>118</v>
      </c>
      <c r="D87" s="2">
        <v>-8.6897566949289704</v>
      </c>
      <c r="E87" s="2">
        <v>40.673428604960243</v>
      </c>
      <c r="J87" s="2" t="s">
        <v>57</v>
      </c>
      <c r="M87" s="8" t="s">
        <v>57</v>
      </c>
    </row>
    <row r="88" spans="1:18">
      <c r="A88" s="2" t="s">
        <v>120</v>
      </c>
      <c r="B88" s="2" t="s">
        <v>27</v>
      </c>
      <c r="C88" s="2" t="s">
        <v>118</v>
      </c>
      <c r="D88" s="2">
        <v>-8.6900685856909305</v>
      </c>
      <c r="E88" s="2">
        <v>40.672449798669959</v>
      </c>
      <c r="J88" s="2" t="s">
        <v>57</v>
      </c>
      <c r="M88" s="8" t="s">
        <v>57</v>
      </c>
    </row>
    <row r="89" spans="1:18">
      <c r="A89" s="2" t="s">
        <v>120</v>
      </c>
      <c r="B89" s="2" t="s">
        <v>28</v>
      </c>
      <c r="C89" s="2" t="s">
        <v>118</v>
      </c>
      <c r="D89" s="2">
        <v>-8.6896867181544302</v>
      </c>
      <c r="E89" s="2">
        <v>40.672793827457873</v>
      </c>
      <c r="J89" s="2" t="s">
        <v>57</v>
      </c>
      <c r="M89" s="8" t="s">
        <v>57</v>
      </c>
    </row>
    <row r="90" spans="1:18">
      <c r="A90" s="2" t="s">
        <v>120</v>
      </c>
      <c r="B90" s="2" t="s">
        <v>29</v>
      </c>
      <c r="C90" s="2" t="s">
        <v>118</v>
      </c>
      <c r="D90" s="2">
        <v>-8.6893048466892626</v>
      </c>
      <c r="E90" s="2">
        <v>40.673137854947939</v>
      </c>
      <c r="J90" s="2" t="s">
        <v>57</v>
      </c>
      <c r="M90" s="8" t="s">
        <v>57</v>
      </c>
    </row>
    <row r="91" spans="1:18">
      <c r="A91" s="2" t="s">
        <v>120</v>
      </c>
      <c r="B91" s="2" t="s">
        <v>30</v>
      </c>
      <c r="C91" s="2" t="s">
        <v>118</v>
      </c>
      <c r="D91" s="2">
        <v>-8.688922971295348</v>
      </c>
      <c r="E91" s="2">
        <v>40.673481881140113</v>
      </c>
      <c r="J91" s="2" t="s">
        <v>57</v>
      </c>
      <c r="M91" s="8" t="s">
        <v>57</v>
      </c>
    </row>
    <row r="92" spans="1:18">
      <c r="A92" s="2" t="s">
        <v>120</v>
      </c>
      <c r="B92" s="2" t="s">
        <v>31</v>
      </c>
      <c r="C92" s="2" t="s">
        <v>118</v>
      </c>
      <c r="D92" s="2">
        <v>-8.6885410919726134</v>
      </c>
      <c r="E92" s="2">
        <v>40.673825906034352</v>
      </c>
      <c r="J92" s="2" t="s">
        <v>57</v>
      </c>
      <c r="M92" s="8" t="s">
        <v>57</v>
      </c>
    </row>
    <row r="93" spans="1:18">
      <c r="A93" s="2" t="s">
        <v>120</v>
      </c>
      <c r="B93" s="2" t="s">
        <v>33</v>
      </c>
      <c r="C93" s="2" t="s">
        <v>118</v>
      </c>
      <c r="D93" s="2">
        <v>-8.6877773215403682</v>
      </c>
      <c r="E93" s="2">
        <v>40.674513951928837</v>
      </c>
      <c r="J93" s="2" t="s">
        <v>57</v>
      </c>
      <c r="M93" s="8" t="s">
        <v>57</v>
      </c>
    </row>
    <row r="94" spans="1:18">
      <c r="A94" s="2" t="s">
        <v>121</v>
      </c>
      <c r="B94" s="2" t="s">
        <v>34</v>
      </c>
      <c r="C94" s="2" t="s">
        <v>118</v>
      </c>
      <c r="D94" s="2">
        <v>-8.6914380556707549</v>
      </c>
      <c r="E94" s="2">
        <v>40.673146740160718</v>
      </c>
      <c r="J94" s="2" t="s">
        <v>57</v>
      </c>
      <c r="M94" s="8" t="s">
        <v>57</v>
      </c>
      <c r="R94" s="2" t="s">
        <v>149</v>
      </c>
    </row>
    <row r="95" spans="1:18">
      <c r="A95" s="2" t="s">
        <v>121</v>
      </c>
      <c r="B95" s="2" t="s">
        <v>43</v>
      </c>
      <c r="C95" s="2" t="s">
        <v>118</v>
      </c>
      <c r="D95" s="2">
        <v>-8.6901231642737375</v>
      </c>
      <c r="E95" s="2">
        <v>40.673422172042883</v>
      </c>
      <c r="J95" s="2" t="s">
        <v>63</v>
      </c>
      <c r="R95" s="2" t="s">
        <v>148</v>
      </c>
    </row>
    <row r="96" spans="1:18">
      <c r="A96" s="2" t="s">
        <v>121</v>
      </c>
      <c r="B96" s="2" t="s">
        <v>51</v>
      </c>
      <c r="C96" s="2" t="s">
        <v>118</v>
      </c>
      <c r="D96" s="2">
        <v>-8.689664243430629</v>
      </c>
      <c r="E96" s="2">
        <v>40.673417487361718</v>
      </c>
      <c r="J96" s="2" t="s">
        <v>57</v>
      </c>
      <c r="M96" s="8" t="s">
        <v>57</v>
      </c>
    </row>
    <row r="97" spans="1:18">
      <c r="A97" s="2" t="s">
        <v>121</v>
      </c>
      <c r="B97" s="2" t="s">
        <v>54</v>
      </c>
      <c r="C97" s="2" t="s">
        <v>118</v>
      </c>
      <c r="D97" s="2">
        <v>-8.6880517055060107</v>
      </c>
      <c r="E97" s="2">
        <v>40.674507767927551</v>
      </c>
      <c r="J97" s="2" t="s">
        <v>57</v>
      </c>
      <c r="M97" s="8" t="s">
        <v>57</v>
      </c>
    </row>
    <row r="98" spans="1:18">
      <c r="A98" s="2" t="s">
        <v>120</v>
      </c>
      <c r="B98" s="2" t="s">
        <v>64</v>
      </c>
      <c r="C98" s="2" t="s">
        <v>119</v>
      </c>
      <c r="D98" s="2">
        <v>-8.6825620000000008</v>
      </c>
      <c r="E98" s="2">
        <v>40.69341</v>
      </c>
      <c r="J98" s="2" t="s">
        <v>63</v>
      </c>
      <c r="R98" s="2" t="s">
        <v>147</v>
      </c>
    </row>
    <row r="99" spans="1:18">
      <c r="A99" s="2" t="s">
        <v>120</v>
      </c>
      <c r="B99" s="2" t="s">
        <v>65</v>
      </c>
      <c r="C99" s="2" t="s">
        <v>119</v>
      </c>
      <c r="D99" s="2">
        <v>-8.6823575903285715</v>
      </c>
      <c r="E99" s="2">
        <v>40.693832708138153</v>
      </c>
      <c r="J99" s="2" t="s">
        <v>63</v>
      </c>
      <c r="R99" s="2" t="s">
        <v>147</v>
      </c>
    </row>
    <row r="100" spans="1:18">
      <c r="A100" s="2" t="s">
        <v>120</v>
      </c>
      <c r="B100" s="2" t="s">
        <v>66</v>
      </c>
      <c r="C100" s="2" t="s">
        <v>119</v>
      </c>
      <c r="D100" s="2">
        <v>-8.6821531780584902</v>
      </c>
      <c r="E100" s="2">
        <v>40.694255415873698</v>
      </c>
      <c r="J100" s="2" t="s">
        <v>63</v>
      </c>
      <c r="R100" s="2" t="s">
        <v>147</v>
      </c>
    </row>
    <row r="101" spans="1:18">
      <c r="A101" s="2" t="s">
        <v>120</v>
      </c>
      <c r="B101" s="2" t="s">
        <v>67</v>
      </c>
      <c r="C101" s="2" t="s">
        <v>119</v>
      </c>
      <c r="D101" s="2">
        <v>-8.681948763189677</v>
      </c>
      <c r="E101" s="2">
        <v>40.694678123206657</v>
      </c>
      <c r="J101" s="2" t="s">
        <v>63</v>
      </c>
      <c r="R101" s="2" t="s">
        <v>147</v>
      </c>
    </row>
    <row r="102" spans="1:18">
      <c r="A102" s="2" t="s">
        <v>120</v>
      </c>
      <c r="B102" s="2" t="s">
        <v>72</v>
      </c>
      <c r="C102" s="2" t="s">
        <v>119</v>
      </c>
      <c r="D102" s="2">
        <v>-8.6814512910565291</v>
      </c>
      <c r="E102" s="2">
        <v>40.693098825050583</v>
      </c>
      <c r="J102" s="2" t="s">
        <v>57</v>
      </c>
      <c r="M102" s="8" t="s">
        <v>57</v>
      </c>
    </row>
    <row r="103" spans="1:18">
      <c r="A103" s="2" t="s">
        <v>121</v>
      </c>
      <c r="B103" s="2" t="s">
        <v>96</v>
      </c>
      <c r="C103" s="2" t="s">
        <v>119</v>
      </c>
      <c r="D103" s="2">
        <v>-8.6822173747492926</v>
      </c>
      <c r="E103" s="2">
        <v>40.69361104053408</v>
      </c>
      <c r="J103" s="2" t="s">
        <v>63</v>
      </c>
      <c r="R103" s="2" t="s">
        <v>147</v>
      </c>
    </row>
    <row r="104" spans="1:18">
      <c r="A104" s="2" t="s">
        <v>121</v>
      </c>
      <c r="B104" s="2" t="s">
        <v>97</v>
      </c>
      <c r="C104" s="2" t="s">
        <v>119</v>
      </c>
      <c r="D104" s="2">
        <v>-8.6821059932405689</v>
      </c>
      <c r="E104" s="2">
        <v>40.694185403588158</v>
      </c>
      <c r="J104" s="2" t="s">
        <v>63</v>
      </c>
      <c r="R104" s="2" t="s">
        <v>147</v>
      </c>
    </row>
    <row r="105" spans="1:18">
      <c r="A105" s="2" t="s">
        <v>121</v>
      </c>
      <c r="B105" s="2" t="s">
        <v>98</v>
      </c>
      <c r="C105" s="2" t="s">
        <v>119</v>
      </c>
      <c r="D105" s="2">
        <v>-8.6816929102467704</v>
      </c>
      <c r="E105" s="2">
        <v>40.694372213084328</v>
      </c>
      <c r="J105" s="2" t="s">
        <v>63</v>
      </c>
      <c r="R105" s="2" t="s">
        <v>147</v>
      </c>
    </row>
    <row r="106" spans="1:18">
      <c r="A106" s="2" t="s">
        <v>121</v>
      </c>
      <c r="B106" s="2" t="s">
        <v>101</v>
      </c>
      <c r="C106" s="2" t="s">
        <v>119</v>
      </c>
      <c r="D106" s="2">
        <v>-8.6811372994927538</v>
      </c>
      <c r="E106" s="2">
        <v>40.69418956605297</v>
      </c>
      <c r="J106" s="2" t="s">
        <v>56</v>
      </c>
      <c r="M106" s="8" t="s">
        <v>56</v>
      </c>
    </row>
    <row r="107" spans="1:18">
      <c r="A107" s="2" t="s">
        <v>121</v>
      </c>
      <c r="B107" s="2" t="s">
        <v>113</v>
      </c>
      <c r="C107" s="2" t="s">
        <v>119</v>
      </c>
      <c r="D107" s="2">
        <v>-8.678956450129661</v>
      </c>
      <c r="E107" s="2">
        <v>40.693785384236108</v>
      </c>
      <c r="J107" s="2" t="s">
        <v>57</v>
      </c>
      <c r="M107" s="8" t="s">
        <v>57</v>
      </c>
    </row>
  </sheetData>
  <autoFilter ref="A1:R107" xr:uid="{00000000-0001-0000-0000-000000000000}"/>
  <sortState xmlns:xlrd2="http://schemas.microsoft.com/office/spreadsheetml/2017/richdata2" ref="A2:R107">
    <sortCondition ref="F2:F107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C22D-2639-4E22-A710-55ADBEB98C93}">
  <dimension ref="A1:H88"/>
  <sheetViews>
    <sheetView workbookViewId="0">
      <pane ySplit="1" topLeftCell="A2" activePane="bottomLeft" state="frozen"/>
      <selection pane="bottomLeft" activeCell="E10" sqref="E10"/>
    </sheetView>
  </sheetViews>
  <sheetFormatPr defaultRowHeight="14.5"/>
  <cols>
    <col min="1" max="1" width="12.26953125" bestFit="1" customWidth="1"/>
    <col min="2" max="2" width="13.08984375" style="16" customWidth="1"/>
    <col min="3" max="4" width="8.7265625" style="2"/>
    <col min="8" max="8" width="20.36328125" customWidth="1"/>
  </cols>
  <sheetData>
    <row r="1" spans="1:7">
      <c r="A1" t="s">
        <v>154</v>
      </c>
      <c r="B1" s="16" t="s">
        <v>155</v>
      </c>
      <c r="C1" s="2" t="s">
        <v>243</v>
      </c>
      <c r="D1" s="2" t="s">
        <v>244</v>
      </c>
    </row>
    <row r="2" spans="1:7">
      <c r="A2" t="s">
        <v>156</v>
      </c>
      <c r="B2" s="16">
        <v>21.091182801558499</v>
      </c>
      <c r="C2" s="2" t="s">
        <v>246</v>
      </c>
      <c r="D2" s="2">
        <v>4</v>
      </c>
    </row>
    <row r="3" spans="1:7" ht="16.5" customHeight="1">
      <c r="A3" t="s">
        <v>187</v>
      </c>
      <c r="B3" s="16">
        <v>7.0415662954508198</v>
      </c>
      <c r="C3" s="2">
        <v>1</v>
      </c>
      <c r="D3" s="2">
        <v>2</v>
      </c>
    </row>
    <row r="4" spans="1:7">
      <c r="A4" t="s">
        <v>157</v>
      </c>
      <c r="B4" s="16">
        <v>14.091566395275301</v>
      </c>
      <c r="C4" s="2">
        <v>4</v>
      </c>
      <c r="D4" s="2">
        <v>2</v>
      </c>
    </row>
    <row r="5" spans="1:7">
      <c r="A5" t="s">
        <v>158</v>
      </c>
      <c r="B5" s="16">
        <v>6.8943042863217796</v>
      </c>
      <c r="C5" s="2">
        <v>2</v>
      </c>
      <c r="D5" s="2">
        <v>4</v>
      </c>
    </row>
    <row r="6" spans="1:7">
      <c r="A6" t="s">
        <v>159</v>
      </c>
      <c r="B6" s="16">
        <v>10.8526856130515</v>
      </c>
      <c r="C6" s="2">
        <v>5</v>
      </c>
      <c r="D6" s="2">
        <v>0</v>
      </c>
    </row>
    <row r="7" spans="1:7">
      <c r="A7" t="s">
        <v>160</v>
      </c>
      <c r="B7" s="16">
        <v>5.7744062441713604</v>
      </c>
      <c r="C7" s="2">
        <v>0</v>
      </c>
      <c r="D7" s="2">
        <v>0</v>
      </c>
    </row>
    <row r="8" spans="1:7">
      <c r="A8" t="s">
        <v>161</v>
      </c>
      <c r="B8" s="16">
        <v>30.7552694739</v>
      </c>
      <c r="C8" s="2">
        <v>0</v>
      </c>
      <c r="D8" s="2">
        <v>5</v>
      </c>
    </row>
    <row r="9" spans="1:7">
      <c r="A9" t="s">
        <v>162</v>
      </c>
      <c r="B9" s="16">
        <v>5.8589734769042199</v>
      </c>
      <c r="C9" s="2">
        <v>5</v>
      </c>
      <c r="D9" s="2">
        <v>0</v>
      </c>
      <c r="G9" s="2"/>
    </row>
    <row r="10" spans="1:7">
      <c r="A10" t="s">
        <v>163</v>
      </c>
      <c r="B10" s="16">
        <v>13.1297985713624</v>
      </c>
      <c r="C10" s="2">
        <v>5</v>
      </c>
      <c r="D10" s="2">
        <v>0</v>
      </c>
      <c r="G10" s="2"/>
    </row>
    <row r="11" spans="1:7">
      <c r="A11" t="s">
        <v>164</v>
      </c>
      <c r="B11" s="16">
        <v>20.972158021854199</v>
      </c>
      <c r="C11" s="2">
        <v>5</v>
      </c>
      <c r="D11" s="2">
        <v>0</v>
      </c>
      <c r="G11" s="2"/>
    </row>
    <row r="12" spans="1:7">
      <c r="A12" t="s">
        <v>165</v>
      </c>
      <c r="B12" s="16">
        <v>24.3567689942358</v>
      </c>
      <c r="C12" s="2">
        <v>5</v>
      </c>
      <c r="D12" s="2">
        <v>0</v>
      </c>
      <c r="G12" s="2"/>
    </row>
    <row r="13" spans="1:7">
      <c r="A13" t="s">
        <v>166</v>
      </c>
      <c r="B13" s="16">
        <v>1.65795820602393</v>
      </c>
      <c r="C13" s="2">
        <v>0</v>
      </c>
      <c r="D13" s="2">
        <v>0</v>
      </c>
    </row>
    <row r="14" spans="1:7">
      <c r="A14" t="s">
        <v>167</v>
      </c>
      <c r="B14" s="16">
        <v>8.5606197081606901</v>
      </c>
      <c r="C14" s="2">
        <v>5</v>
      </c>
      <c r="D14" s="2">
        <v>0</v>
      </c>
    </row>
    <row r="15" spans="1:7">
      <c r="A15" t="s">
        <v>168</v>
      </c>
      <c r="B15" s="16">
        <v>30.6267467106568</v>
      </c>
      <c r="C15" s="2" t="s">
        <v>246</v>
      </c>
      <c r="D15" s="2">
        <v>5</v>
      </c>
    </row>
    <row r="16" spans="1:7">
      <c r="A16" t="s">
        <v>169</v>
      </c>
      <c r="B16" s="16">
        <v>6.6680047940708898</v>
      </c>
      <c r="C16" s="2" t="s">
        <v>246</v>
      </c>
      <c r="D16" s="2">
        <v>4</v>
      </c>
    </row>
    <row r="17" spans="1:4">
      <c r="A17" t="s">
        <v>170</v>
      </c>
      <c r="B17" s="16">
        <v>5.7736022315782201</v>
      </c>
      <c r="C17" s="2">
        <v>3</v>
      </c>
      <c r="D17" s="2">
        <v>0</v>
      </c>
    </row>
    <row r="18" spans="1:4">
      <c r="A18" t="s">
        <v>171</v>
      </c>
      <c r="B18" s="16">
        <v>11.219939337040501</v>
      </c>
      <c r="C18" s="2">
        <v>5</v>
      </c>
      <c r="D18" s="2" t="s">
        <v>246</v>
      </c>
    </row>
    <row r="19" spans="1:4">
      <c r="A19" t="s">
        <v>172</v>
      </c>
      <c r="B19" s="16">
        <v>15.571297923380101</v>
      </c>
      <c r="C19" s="2">
        <v>5</v>
      </c>
      <c r="D19" s="2">
        <v>0</v>
      </c>
    </row>
    <row r="20" spans="1:4">
      <c r="A20" t="s">
        <v>173</v>
      </c>
      <c r="B20" s="16">
        <v>0.71318724086203</v>
      </c>
      <c r="C20" s="2" t="s">
        <v>246</v>
      </c>
      <c r="D20" s="2" t="s">
        <v>246</v>
      </c>
    </row>
    <row r="21" spans="1:4">
      <c r="A21" t="s">
        <v>174</v>
      </c>
      <c r="B21" s="16">
        <v>13.338259541883399</v>
      </c>
      <c r="C21" s="2">
        <v>5</v>
      </c>
      <c r="D21" s="2">
        <v>0</v>
      </c>
    </row>
    <row r="22" spans="1:4">
      <c r="A22" t="s">
        <v>175</v>
      </c>
      <c r="B22" s="16">
        <v>38.429773934777302</v>
      </c>
      <c r="C22" s="2" t="s">
        <v>246</v>
      </c>
      <c r="D22" s="2">
        <v>5</v>
      </c>
    </row>
    <row r="23" spans="1:4">
      <c r="A23" t="s">
        <v>176</v>
      </c>
      <c r="B23" s="16">
        <v>28.68027487653</v>
      </c>
      <c r="C23" s="2">
        <v>5</v>
      </c>
      <c r="D23" s="2">
        <v>0</v>
      </c>
    </row>
    <row r="24" spans="1:4">
      <c r="A24" t="s">
        <v>177</v>
      </c>
      <c r="B24" s="16">
        <v>16.022305784735899</v>
      </c>
      <c r="C24" s="2">
        <v>5</v>
      </c>
      <c r="D24" s="2">
        <v>0</v>
      </c>
    </row>
    <row r="25" spans="1:4">
      <c r="A25" t="s">
        <v>178</v>
      </c>
      <c r="B25" s="16">
        <v>14.159791036112599</v>
      </c>
      <c r="C25" s="2">
        <v>5</v>
      </c>
      <c r="D25" s="2">
        <v>0</v>
      </c>
    </row>
    <row r="26" spans="1:4">
      <c r="A26" t="s">
        <v>179</v>
      </c>
      <c r="B26" s="16">
        <v>0.723240683200572</v>
      </c>
      <c r="C26" s="2">
        <v>0</v>
      </c>
      <c r="D26" s="2">
        <v>0</v>
      </c>
    </row>
    <row r="27" spans="1:4">
      <c r="A27" t="s">
        <v>180</v>
      </c>
      <c r="B27" s="16">
        <v>14.6488721751741</v>
      </c>
      <c r="C27" s="2">
        <v>1</v>
      </c>
      <c r="D27" s="2">
        <v>4</v>
      </c>
    </row>
    <row r="28" spans="1:4">
      <c r="A28" t="s">
        <v>181</v>
      </c>
      <c r="B28" s="16">
        <v>7.8148776718625603</v>
      </c>
      <c r="C28" s="2">
        <v>4</v>
      </c>
      <c r="D28" s="2" t="s">
        <v>246</v>
      </c>
    </row>
    <row r="29" spans="1:4">
      <c r="A29" t="s">
        <v>182</v>
      </c>
      <c r="B29" s="16">
        <v>5.0289908534566701</v>
      </c>
      <c r="C29" s="2">
        <v>2</v>
      </c>
      <c r="D29" s="2">
        <v>0</v>
      </c>
    </row>
    <row r="30" spans="1:4">
      <c r="A30" t="s">
        <v>183</v>
      </c>
      <c r="B30" s="16">
        <v>7.1268170669179502</v>
      </c>
      <c r="C30" s="2" t="s">
        <v>246</v>
      </c>
      <c r="D30" s="2">
        <v>0</v>
      </c>
    </row>
    <row r="31" spans="1:4">
      <c r="A31" t="s">
        <v>184</v>
      </c>
      <c r="B31" s="16">
        <v>2.3120099327171801</v>
      </c>
      <c r="C31" s="2">
        <v>0</v>
      </c>
      <c r="D31" s="2" t="s">
        <v>246</v>
      </c>
    </row>
    <row r="32" spans="1:4">
      <c r="A32" t="s">
        <v>185</v>
      </c>
      <c r="B32" s="16">
        <v>0.37605195199074098</v>
      </c>
      <c r="C32" s="2">
        <v>0</v>
      </c>
      <c r="D32" s="2">
        <v>0</v>
      </c>
    </row>
    <row r="33" spans="1:4">
      <c r="A33" t="s">
        <v>188</v>
      </c>
      <c r="B33" s="16">
        <v>1.1886216789849799</v>
      </c>
      <c r="C33" s="2">
        <v>0</v>
      </c>
      <c r="D33" s="2">
        <v>0</v>
      </c>
    </row>
    <row r="34" spans="1:4">
      <c r="A34" t="s">
        <v>189</v>
      </c>
      <c r="B34" s="16">
        <v>0.92894820337907502</v>
      </c>
      <c r="C34" s="2">
        <v>0</v>
      </c>
      <c r="D34" s="2">
        <v>0</v>
      </c>
    </row>
    <row r="35" spans="1:4">
      <c r="A35" t="s">
        <v>190</v>
      </c>
      <c r="B35" s="16">
        <v>12.3380030204583</v>
      </c>
      <c r="C35" s="2">
        <v>3</v>
      </c>
      <c r="D35" s="2">
        <v>0</v>
      </c>
    </row>
    <row r="36" spans="1:4">
      <c r="A36" t="s">
        <v>191</v>
      </c>
      <c r="B36" s="16">
        <v>5.2318108258458196</v>
      </c>
      <c r="C36" s="2">
        <v>4</v>
      </c>
      <c r="D36" s="2">
        <v>0</v>
      </c>
    </row>
    <row r="37" spans="1:4">
      <c r="A37" t="s">
        <v>192</v>
      </c>
      <c r="B37" s="16">
        <v>9.2346355567509395</v>
      </c>
      <c r="C37" s="2">
        <v>5</v>
      </c>
      <c r="D37" s="2">
        <v>0</v>
      </c>
    </row>
    <row r="38" spans="1:4">
      <c r="A38" t="s">
        <v>193</v>
      </c>
      <c r="B38" s="16">
        <v>26.0384724423355</v>
      </c>
      <c r="C38" s="2">
        <v>4</v>
      </c>
      <c r="D38" s="2">
        <v>0</v>
      </c>
    </row>
    <row r="39" spans="1:4">
      <c r="A39" t="s">
        <v>194</v>
      </c>
      <c r="B39" s="16">
        <v>0.39706887387045298</v>
      </c>
      <c r="C39" s="2">
        <v>0</v>
      </c>
      <c r="D39" s="2">
        <v>0</v>
      </c>
    </row>
    <row r="40" spans="1:4">
      <c r="A40" t="s">
        <v>195</v>
      </c>
      <c r="B40" s="16">
        <v>1.07133769409986</v>
      </c>
      <c r="C40" s="2">
        <v>0</v>
      </c>
      <c r="D40" s="2">
        <v>0</v>
      </c>
    </row>
    <row r="41" spans="1:4">
      <c r="A41" t="s">
        <v>196</v>
      </c>
      <c r="B41" s="16">
        <v>26.474915480612701</v>
      </c>
      <c r="C41" s="2">
        <v>5</v>
      </c>
      <c r="D41" s="2">
        <v>0</v>
      </c>
    </row>
    <row r="42" spans="1:4">
      <c r="A42" t="s">
        <v>197</v>
      </c>
      <c r="B42" s="16">
        <v>9.79648745288541</v>
      </c>
      <c r="C42" s="2">
        <v>2</v>
      </c>
      <c r="D42" s="2">
        <v>0</v>
      </c>
    </row>
    <row r="43" spans="1:4">
      <c r="A43" t="s">
        <v>198</v>
      </c>
      <c r="B43" s="16">
        <v>13.3592509458744</v>
      </c>
      <c r="C43" s="2">
        <v>4</v>
      </c>
      <c r="D43" s="2">
        <v>0</v>
      </c>
    </row>
    <row r="44" spans="1:4">
      <c r="A44" t="s">
        <v>199</v>
      </c>
      <c r="B44" s="16">
        <v>5.4923862953315998</v>
      </c>
      <c r="C44" s="2">
        <v>5</v>
      </c>
      <c r="D44" s="2" t="s">
        <v>246</v>
      </c>
    </row>
    <row r="45" spans="1:4">
      <c r="A45" t="s">
        <v>200</v>
      </c>
      <c r="B45" s="16">
        <v>4.9591696641862804</v>
      </c>
      <c r="C45" s="2">
        <v>5</v>
      </c>
      <c r="D45" s="2">
        <v>0</v>
      </c>
    </row>
    <row r="46" spans="1:4">
      <c r="A46" t="s">
        <v>201</v>
      </c>
      <c r="B46" s="16">
        <v>6.0601371704623297</v>
      </c>
      <c r="C46" s="2">
        <v>5</v>
      </c>
      <c r="D46" s="2">
        <v>0</v>
      </c>
    </row>
    <row r="47" spans="1:4">
      <c r="A47" t="s">
        <v>202</v>
      </c>
      <c r="B47" s="16">
        <v>9.2657165226468692</v>
      </c>
      <c r="C47" s="2">
        <v>5</v>
      </c>
      <c r="D47" s="2">
        <v>0</v>
      </c>
    </row>
    <row r="48" spans="1:4">
      <c r="A48" t="s">
        <v>203</v>
      </c>
      <c r="B48" s="16">
        <v>7.7496523018371501</v>
      </c>
      <c r="C48" s="2">
        <v>5</v>
      </c>
      <c r="D48" s="2">
        <v>0</v>
      </c>
    </row>
    <row r="49" spans="1:4">
      <c r="A49" t="s">
        <v>204</v>
      </c>
      <c r="B49" s="16">
        <v>2.5210683566225298</v>
      </c>
      <c r="C49" s="2">
        <v>5</v>
      </c>
      <c r="D49" s="2">
        <v>0</v>
      </c>
    </row>
    <row r="50" spans="1:4">
      <c r="A50" t="s">
        <v>205</v>
      </c>
      <c r="B50" s="16">
        <v>1.87316449108252</v>
      </c>
      <c r="C50" s="2">
        <v>5</v>
      </c>
      <c r="D50" s="2">
        <v>0</v>
      </c>
    </row>
    <row r="51" spans="1:4">
      <c r="A51" t="s">
        <v>206</v>
      </c>
      <c r="B51" s="16">
        <v>0.62180622312167999</v>
      </c>
      <c r="C51" s="2">
        <v>5</v>
      </c>
      <c r="D51" s="2">
        <v>0</v>
      </c>
    </row>
    <row r="52" spans="1:4">
      <c r="A52" t="s">
        <v>207</v>
      </c>
      <c r="B52" s="16">
        <v>3.7593007668822702</v>
      </c>
      <c r="C52" s="2">
        <v>4</v>
      </c>
      <c r="D52" s="2">
        <v>0</v>
      </c>
    </row>
    <row r="53" spans="1:4">
      <c r="A53" t="s">
        <v>208</v>
      </c>
      <c r="B53" s="16">
        <v>9.94870866833846</v>
      </c>
      <c r="C53" s="2">
        <v>5</v>
      </c>
      <c r="D53" s="2">
        <v>0</v>
      </c>
    </row>
    <row r="54" spans="1:4">
      <c r="A54" t="s">
        <v>209</v>
      </c>
      <c r="B54" s="16">
        <v>4.8066673106205702</v>
      </c>
      <c r="C54" s="2">
        <v>5</v>
      </c>
      <c r="D54" s="2">
        <v>0</v>
      </c>
    </row>
    <row r="55" spans="1:4">
      <c r="A55" t="s">
        <v>210</v>
      </c>
      <c r="B55" s="16">
        <v>10.5062745894937</v>
      </c>
      <c r="C55" s="2">
        <v>5</v>
      </c>
      <c r="D55" s="2">
        <v>0</v>
      </c>
    </row>
    <row r="56" spans="1:4">
      <c r="A56" t="s">
        <v>211</v>
      </c>
      <c r="B56" s="16">
        <v>4.7473827175476604</v>
      </c>
      <c r="C56" s="2">
        <v>5</v>
      </c>
      <c r="D56" s="2" t="s">
        <v>246</v>
      </c>
    </row>
    <row r="57" spans="1:4">
      <c r="A57" t="s">
        <v>212</v>
      </c>
      <c r="B57" s="16">
        <v>3.6257592205693698</v>
      </c>
      <c r="C57" s="2">
        <v>5</v>
      </c>
      <c r="D57" s="2">
        <v>0</v>
      </c>
    </row>
    <row r="58" spans="1:4">
      <c r="A58" t="s">
        <v>213</v>
      </c>
      <c r="B58" s="16">
        <v>0.40583505071321802</v>
      </c>
      <c r="C58" s="2">
        <v>0</v>
      </c>
      <c r="D58" s="2">
        <v>0</v>
      </c>
    </row>
    <row r="59" spans="1:4">
      <c r="A59" t="s">
        <v>214</v>
      </c>
      <c r="B59" s="16">
        <v>0.32693897964337498</v>
      </c>
      <c r="C59" s="2">
        <v>0</v>
      </c>
      <c r="D59" s="2">
        <v>0</v>
      </c>
    </row>
    <row r="60" spans="1:4">
      <c r="A60" t="s">
        <v>215</v>
      </c>
      <c r="B60" s="16">
        <v>5.6534540300827496</v>
      </c>
      <c r="C60" s="2">
        <v>5</v>
      </c>
      <c r="D60" s="2">
        <v>0</v>
      </c>
    </row>
    <row r="61" spans="1:4">
      <c r="A61" t="s">
        <v>216</v>
      </c>
      <c r="B61" s="16">
        <v>1.1453575698127101</v>
      </c>
      <c r="C61" s="2">
        <v>0</v>
      </c>
      <c r="D61" s="2" t="s">
        <v>246</v>
      </c>
    </row>
    <row r="62" spans="1:4">
      <c r="A62" t="s">
        <v>217</v>
      </c>
      <c r="B62" s="16">
        <v>1.0994369829900399</v>
      </c>
      <c r="C62" s="2">
        <v>0</v>
      </c>
      <c r="D62" s="2" t="s">
        <v>246</v>
      </c>
    </row>
    <row r="63" spans="1:4">
      <c r="A63" t="s">
        <v>218</v>
      </c>
      <c r="B63" s="16">
        <v>15.5731085737065</v>
      </c>
      <c r="C63" s="2">
        <v>5</v>
      </c>
      <c r="D63" s="2">
        <v>0</v>
      </c>
    </row>
    <row r="64" spans="1:4">
      <c r="A64" t="s">
        <v>219</v>
      </c>
      <c r="B64" s="16">
        <v>21.684047588237799</v>
      </c>
      <c r="C64" s="2">
        <v>5</v>
      </c>
      <c r="D64" s="2">
        <v>0</v>
      </c>
    </row>
    <row r="65" spans="1:7">
      <c r="A65" t="s">
        <v>220</v>
      </c>
      <c r="B65" s="16">
        <v>5.4743282499080603</v>
      </c>
      <c r="C65" s="2">
        <v>5</v>
      </c>
      <c r="D65" s="2">
        <v>0</v>
      </c>
    </row>
    <row r="66" spans="1:7">
      <c r="A66" t="s">
        <v>221</v>
      </c>
      <c r="B66" s="16">
        <v>35.334324166703801</v>
      </c>
      <c r="C66" s="2">
        <v>5</v>
      </c>
      <c r="D66" s="2">
        <v>0</v>
      </c>
    </row>
    <row r="67" spans="1:7">
      <c r="A67" t="s">
        <v>222</v>
      </c>
      <c r="B67" s="16">
        <v>15.574670213711199</v>
      </c>
      <c r="C67" s="2">
        <v>5</v>
      </c>
      <c r="D67" s="2">
        <v>0</v>
      </c>
    </row>
    <row r="68" spans="1:7">
      <c r="A68" t="s">
        <v>223</v>
      </c>
      <c r="B68" s="16">
        <v>13.691481560333999</v>
      </c>
      <c r="C68" s="2">
        <v>5</v>
      </c>
      <c r="D68" s="2">
        <v>0</v>
      </c>
    </row>
    <row r="69" spans="1:7">
      <c r="A69" t="s">
        <v>224</v>
      </c>
      <c r="B69" s="16">
        <v>17.873375768112599</v>
      </c>
      <c r="C69" s="2">
        <v>5</v>
      </c>
      <c r="D69" s="2">
        <v>0</v>
      </c>
    </row>
    <row r="70" spans="1:7">
      <c r="A70" t="s">
        <v>225</v>
      </c>
      <c r="B70" s="16">
        <v>20.408481781348499</v>
      </c>
      <c r="C70" s="2">
        <v>5</v>
      </c>
      <c r="D70" s="2">
        <v>0</v>
      </c>
    </row>
    <row r="71" spans="1:7">
      <c r="A71" t="s">
        <v>226</v>
      </c>
      <c r="B71" s="16">
        <v>4.33747986903394</v>
      </c>
      <c r="C71" s="2">
        <v>5</v>
      </c>
      <c r="D71" s="2">
        <v>0</v>
      </c>
    </row>
    <row r="72" spans="1:7">
      <c r="A72" t="s">
        <v>227</v>
      </c>
      <c r="B72" s="16">
        <v>3.12236503592024</v>
      </c>
      <c r="C72" s="2">
        <v>5</v>
      </c>
      <c r="D72" s="2">
        <v>0</v>
      </c>
    </row>
    <row r="73" spans="1:7">
      <c r="A73" t="s">
        <v>228</v>
      </c>
      <c r="B73" s="16">
        <v>5.3863267467960103</v>
      </c>
      <c r="C73" s="2">
        <v>5</v>
      </c>
      <c r="D73" s="2">
        <v>0</v>
      </c>
    </row>
    <row r="74" spans="1:7">
      <c r="A74" t="s">
        <v>229</v>
      </c>
      <c r="B74" s="16">
        <v>1.0283066063408099</v>
      </c>
      <c r="C74" s="2">
        <v>0</v>
      </c>
      <c r="D74" s="2">
        <v>0</v>
      </c>
    </row>
    <row r="75" spans="1:7">
      <c r="A75" t="s">
        <v>230</v>
      </c>
      <c r="B75" s="16">
        <v>10.2839578313543</v>
      </c>
      <c r="C75" s="2">
        <v>5</v>
      </c>
      <c r="D75" s="2">
        <v>0</v>
      </c>
    </row>
    <row r="76" spans="1:7">
      <c r="A76" t="s">
        <v>231</v>
      </c>
      <c r="B76" s="16">
        <v>9.3152137709699492</v>
      </c>
      <c r="C76" s="2">
        <v>5</v>
      </c>
      <c r="D76" s="2">
        <v>0</v>
      </c>
    </row>
    <row r="77" spans="1:7">
      <c r="A77" t="s">
        <v>232</v>
      </c>
      <c r="B77" s="16">
        <v>9.8368359849145008</v>
      </c>
      <c r="C77" s="2">
        <v>5</v>
      </c>
      <c r="D77" s="2">
        <v>0</v>
      </c>
    </row>
    <row r="78" spans="1:7">
      <c r="A78" t="s">
        <v>233</v>
      </c>
      <c r="B78" s="16">
        <v>9.1129595061532296</v>
      </c>
      <c r="C78" s="2">
        <v>3</v>
      </c>
      <c r="D78" s="2">
        <v>2</v>
      </c>
    </row>
    <row r="79" spans="1:7">
      <c r="A79" t="s">
        <v>234</v>
      </c>
      <c r="B79" s="16">
        <v>1.5361396453938201</v>
      </c>
      <c r="C79" s="2">
        <v>0</v>
      </c>
      <c r="D79" s="2">
        <v>0</v>
      </c>
    </row>
    <row r="80" spans="1:7">
      <c r="A80" t="s">
        <v>235</v>
      </c>
      <c r="B80" s="16">
        <v>0.33855031767820198</v>
      </c>
      <c r="C80" s="2">
        <v>0</v>
      </c>
      <c r="D80" s="2">
        <v>0</v>
      </c>
      <c r="G80" s="2" t="s">
        <v>245</v>
      </c>
    </row>
    <row r="81" spans="1:8">
      <c r="A81" t="s">
        <v>236</v>
      </c>
      <c r="B81" s="16">
        <v>5.2055678237352101</v>
      </c>
      <c r="C81" s="2">
        <v>5</v>
      </c>
      <c r="D81" s="2">
        <v>0</v>
      </c>
      <c r="G81" s="2">
        <v>0</v>
      </c>
    </row>
    <row r="82" spans="1:8">
      <c r="A82" t="s">
        <v>237</v>
      </c>
      <c r="B82" s="16">
        <v>7.4506856179672898</v>
      </c>
      <c r="C82" s="2">
        <v>5</v>
      </c>
      <c r="D82" s="2">
        <v>0</v>
      </c>
      <c r="G82" s="5" t="s">
        <v>246</v>
      </c>
      <c r="H82" s="6" t="s">
        <v>247</v>
      </c>
    </row>
    <row r="83" spans="1:8">
      <c r="A83" t="s">
        <v>238</v>
      </c>
      <c r="B83" s="16">
        <v>5.9195789633107401</v>
      </c>
      <c r="C83" s="2">
        <v>5</v>
      </c>
      <c r="D83" s="2">
        <v>0</v>
      </c>
      <c r="G83" s="5">
        <v>1</v>
      </c>
      <c r="H83" s="6" t="s">
        <v>248</v>
      </c>
    </row>
    <row r="84" spans="1:8">
      <c r="A84" t="s">
        <v>239</v>
      </c>
      <c r="B84" s="16">
        <v>14.7649975321937</v>
      </c>
      <c r="C84" s="2">
        <v>5</v>
      </c>
      <c r="D84" s="2">
        <v>0</v>
      </c>
      <c r="G84" s="5">
        <v>2</v>
      </c>
      <c r="H84" s="6" t="s">
        <v>249</v>
      </c>
    </row>
    <row r="85" spans="1:8">
      <c r="A85" t="s">
        <v>240</v>
      </c>
      <c r="B85" s="16">
        <v>2.57813799696563</v>
      </c>
      <c r="C85" s="2">
        <v>5</v>
      </c>
      <c r="D85" s="2">
        <v>0</v>
      </c>
      <c r="G85" s="5">
        <v>3</v>
      </c>
      <c r="H85" s="6" t="s">
        <v>250</v>
      </c>
    </row>
    <row r="86" spans="1:8">
      <c r="A86" t="s">
        <v>241</v>
      </c>
      <c r="B86" s="16">
        <v>8.1263133888282493</v>
      </c>
      <c r="C86" s="2">
        <v>5</v>
      </c>
      <c r="D86" s="2">
        <v>0</v>
      </c>
      <c r="G86" s="5">
        <v>4</v>
      </c>
      <c r="H86" s="6" t="s">
        <v>251</v>
      </c>
    </row>
    <row r="87" spans="1:8">
      <c r="A87" t="s">
        <v>242</v>
      </c>
      <c r="B87" s="16">
        <v>21.9286840031521</v>
      </c>
      <c r="C87" s="2">
        <v>5</v>
      </c>
      <c r="D87" s="2">
        <v>0</v>
      </c>
      <c r="G87" s="5">
        <v>5</v>
      </c>
      <c r="H87" s="6" t="s">
        <v>252</v>
      </c>
    </row>
    <row r="88" spans="1:8">
      <c r="B8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9AD6-9204-4C5F-9F5B-57B3483DE391}">
  <dimension ref="A1:V157"/>
  <sheetViews>
    <sheetView workbookViewId="0">
      <selection activeCell="F136" sqref="F136"/>
    </sheetView>
  </sheetViews>
  <sheetFormatPr defaultRowHeight="14.5"/>
  <cols>
    <col min="1" max="4" width="8.7265625" style="2"/>
    <col min="5" max="6" width="15.1796875" style="2" customWidth="1"/>
    <col min="7" max="7" width="28.36328125" style="2" bestFit="1" customWidth="1"/>
    <col min="8" max="8" width="13.26953125" style="2" bestFit="1" customWidth="1"/>
    <col min="9" max="9" width="11.81640625" style="2" bestFit="1" customWidth="1"/>
    <col min="10" max="10" width="5.6328125" style="2" bestFit="1" customWidth="1"/>
    <col min="11" max="11" width="11.81640625" style="2" bestFit="1" customWidth="1"/>
    <col min="12" max="16384" width="8.7265625" style="2"/>
  </cols>
  <sheetData>
    <row r="1" spans="1:22">
      <c r="A1" s="2" t="s">
        <v>418</v>
      </c>
      <c r="B1" s="2" t="s">
        <v>257</v>
      </c>
      <c r="C1" s="2" t="s">
        <v>417</v>
      </c>
      <c r="D1" s="2" t="s">
        <v>405</v>
      </c>
      <c r="E1" s="2" t="s">
        <v>258</v>
      </c>
      <c r="F1" s="2" t="s">
        <v>59</v>
      </c>
      <c r="G1" s="10" t="s">
        <v>412</v>
      </c>
      <c r="H1" s="10" t="s">
        <v>411</v>
      </c>
      <c r="S1" s="11" t="s">
        <v>253</v>
      </c>
      <c r="T1" s="12"/>
      <c r="U1" s="12"/>
      <c r="V1" s="12"/>
    </row>
    <row r="2" spans="1:22">
      <c r="A2" s="2">
        <v>1</v>
      </c>
      <c r="B2" s="2" t="s">
        <v>259</v>
      </c>
      <c r="C2" s="2">
        <v>2025010</v>
      </c>
      <c r="D2" s="2" t="s">
        <v>406</v>
      </c>
      <c r="E2" s="2">
        <v>2797</v>
      </c>
      <c r="G2" s="10" t="s">
        <v>408</v>
      </c>
      <c r="H2" s="2" t="s">
        <v>406</v>
      </c>
      <c r="I2" s="2" t="s">
        <v>407</v>
      </c>
      <c r="J2" s="2" t="s">
        <v>409</v>
      </c>
      <c r="K2" s="2" t="s">
        <v>410</v>
      </c>
      <c r="L2" s="1" t="s">
        <v>413</v>
      </c>
      <c r="S2" s="11" t="s">
        <v>254</v>
      </c>
      <c r="T2" s="12"/>
      <c r="U2" s="12"/>
      <c r="V2" s="12" t="s">
        <v>255</v>
      </c>
    </row>
    <row r="3" spans="1:22">
      <c r="A3" s="2">
        <v>2</v>
      </c>
      <c r="B3" s="2" t="s">
        <v>261</v>
      </c>
      <c r="C3" s="2">
        <v>2025010</v>
      </c>
      <c r="D3" s="2" t="s">
        <v>407</v>
      </c>
      <c r="E3" s="2">
        <v>1048</v>
      </c>
      <c r="G3" s="2">
        <v>2025003</v>
      </c>
      <c r="H3" s="2">
        <v>315</v>
      </c>
      <c r="I3" s="2">
        <v>250</v>
      </c>
      <c r="K3" s="2">
        <v>282.5</v>
      </c>
      <c r="L3" s="2">
        <f>H3+I3</f>
        <v>565</v>
      </c>
      <c r="S3" s="11"/>
      <c r="T3" s="12"/>
      <c r="U3" s="12"/>
      <c r="V3" s="12" t="s">
        <v>256</v>
      </c>
    </row>
    <row r="4" spans="1:22">
      <c r="A4" s="2">
        <v>3</v>
      </c>
      <c r="B4" s="2" t="s">
        <v>262</v>
      </c>
      <c r="C4" s="2">
        <v>2025113</v>
      </c>
      <c r="D4" s="2" t="s">
        <v>406</v>
      </c>
      <c r="E4" s="2">
        <v>1876</v>
      </c>
      <c r="G4" s="2">
        <v>2025004</v>
      </c>
      <c r="H4" s="2">
        <v>42</v>
      </c>
      <c r="I4" s="2">
        <v>141</v>
      </c>
      <c r="K4" s="2">
        <v>91.5</v>
      </c>
      <c r="L4" s="2">
        <f t="shared" ref="L4:L67" si="0">H4+I4</f>
        <v>183</v>
      </c>
      <c r="S4" s="13" t="s">
        <v>257</v>
      </c>
      <c r="T4" s="13" t="s">
        <v>258</v>
      </c>
      <c r="U4" s="12"/>
      <c r="V4" s="12"/>
    </row>
    <row r="5" spans="1:22">
      <c r="A5" s="2">
        <v>4</v>
      </c>
      <c r="B5" s="2" t="s">
        <v>263</v>
      </c>
      <c r="C5" s="2">
        <v>2025113</v>
      </c>
      <c r="D5" s="2" t="s">
        <v>407</v>
      </c>
      <c r="E5" s="2">
        <v>608</v>
      </c>
      <c r="G5" s="2">
        <v>2025005</v>
      </c>
      <c r="H5" s="2">
        <v>2222</v>
      </c>
      <c r="I5" s="2">
        <v>939</v>
      </c>
      <c r="K5" s="2">
        <v>1580.5</v>
      </c>
      <c r="L5" s="2">
        <f t="shared" si="0"/>
        <v>3161</v>
      </c>
      <c r="S5" s="14" t="s">
        <v>259</v>
      </c>
      <c r="T5" s="14">
        <v>2797</v>
      </c>
      <c r="U5" s="12"/>
      <c r="V5" s="12" t="s">
        <v>260</v>
      </c>
    </row>
    <row r="6" spans="1:22">
      <c r="A6" s="2">
        <v>5</v>
      </c>
      <c r="B6" s="2" t="s">
        <v>264</v>
      </c>
      <c r="C6" s="2">
        <v>2025115</v>
      </c>
      <c r="D6" s="2" t="s">
        <v>406</v>
      </c>
      <c r="E6" s="2">
        <v>3982</v>
      </c>
      <c r="G6" s="2">
        <v>2025006</v>
      </c>
      <c r="H6" s="2">
        <v>17</v>
      </c>
      <c r="I6" s="2">
        <v>0</v>
      </c>
      <c r="K6" s="2">
        <v>8.5</v>
      </c>
      <c r="L6" s="2">
        <f t="shared" si="0"/>
        <v>17</v>
      </c>
      <c r="S6" s="14" t="s">
        <v>261</v>
      </c>
      <c r="T6" s="14">
        <v>1048</v>
      </c>
      <c r="U6" s="12"/>
      <c r="V6" s="12"/>
    </row>
    <row r="7" spans="1:22">
      <c r="A7" s="2">
        <v>6</v>
      </c>
      <c r="B7" s="2" t="s">
        <v>265</v>
      </c>
      <c r="C7" s="2">
        <v>2025115</v>
      </c>
      <c r="D7" s="2" t="s">
        <v>407</v>
      </c>
      <c r="E7" s="2">
        <v>2080</v>
      </c>
      <c r="G7" s="2">
        <v>2025007</v>
      </c>
      <c r="H7" s="2">
        <v>0</v>
      </c>
      <c r="I7" s="2">
        <v>0</v>
      </c>
      <c r="K7" s="2">
        <v>0</v>
      </c>
      <c r="L7" s="2">
        <f t="shared" si="0"/>
        <v>0</v>
      </c>
      <c r="S7" s="14" t="s">
        <v>262</v>
      </c>
      <c r="T7" s="14">
        <v>1876</v>
      </c>
      <c r="U7" s="12"/>
      <c r="V7" s="12"/>
    </row>
    <row r="8" spans="1:22">
      <c r="A8" s="2">
        <v>7</v>
      </c>
      <c r="B8" s="2" t="s">
        <v>266</v>
      </c>
      <c r="C8" s="2">
        <v>2025116</v>
      </c>
      <c r="D8" s="2" t="s">
        <v>406</v>
      </c>
      <c r="E8" s="2">
        <v>3531</v>
      </c>
      <c r="G8" s="2">
        <v>2025008</v>
      </c>
      <c r="H8" s="2">
        <v>2418</v>
      </c>
      <c r="I8" s="2">
        <v>1706</v>
      </c>
      <c r="K8" s="2">
        <v>2062</v>
      </c>
      <c r="L8" s="2">
        <f t="shared" si="0"/>
        <v>4124</v>
      </c>
      <c r="S8" s="14" t="s">
        <v>263</v>
      </c>
      <c r="T8" s="14">
        <v>608</v>
      </c>
      <c r="U8" s="12"/>
      <c r="V8" s="12"/>
    </row>
    <row r="9" spans="1:22">
      <c r="A9" s="2">
        <v>8</v>
      </c>
      <c r="B9" s="2" t="s">
        <v>267</v>
      </c>
      <c r="C9" s="2">
        <v>2025116</v>
      </c>
      <c r="D9" s="2" t="s">
        <v>407</v>
      </c>
      <c r="E9" s="2">
        <v>2364</v>
      </c>
      <c r="G9" s="2">
        <v>2025009</v>
      </c>
      <c r="H9" s="2">
        <v>1377</v>
      </c>
      <c r="I9" s="2">
        <v>1864</v>
      </c>
      <c r="K9" s="2">
        <v>1620.5</v>
      </c>
      <c r="L9" s="2">
        <f t="shared" si="0"/>
        <v>3241</v>
      </c>
      <c r="S9" s="14" t="s">
        <v>264</v>
      </c>
      <c r="T9" s="14">
        <v>3982</v>
      </c>
      <c r="U9" s="12"/>
      <c r="V9" s="12"/>
    </row>
    <row r="10" spans="1:22">
      <c r="A10" s="2">
        <v>9</v>
      </c>
      <c r="B10" s="2" t="s">
        <v>268</v>
      </c>
      <c r="C10" s="2">
        <v>2025117</v>
      </c>
      <c r="D10" s="2" t="s">
        <v>406</v>
      </c>
      <c r="E10" s="2">
        <v>750</v>
      </c>
      <c r="G10" s="2">
        <v>2025010</v>
      </c>
      <c r="H10" s="2">
        <v>2797</v>
      </c>
      <c r="I10" s="2">
        <v>1048</v>
      </c>
      <c r="K10" s="2">
        <v>1922.5</v>
      </c>
      <c r="L10" s="2">
        <f t="shared" si="0"/>
        <v>3845</v>
      </c>
      <c r="S10" s="14" t="s">
        <v>265</v>
      </c>
      <c r="T10" s="14">
        <v>2080</v>
      </c>
      <c r="U10" s="12"/>
      <c r="V10" s="12"/>
    </row>
    <row r="11" spans="1:22">
      <c r="A11" s="2">
        <v>10</v>
      </c>
      <c r="B11" s="2" t="s">
        <v>269</v>
      </c>
      <c r="C11" s="2">
        <v>2025117</v>
      </c>
      <c r="D11" s="2" t="s">
        <v>407</v>
      </c>
      <c r="E11" s="2">
        <v>345</v>
      </c>
      <c r="G11" s="2">
        <v>2025011</v>
      </c>
      <c r="H11" s="2">
        <v>3628</v>
      </c>
      <c r="I11" s="2">
        <v>977</v>
      </c>
      <c r="K11" s="2">
        <v>2302.5</v>
      </c>
      <c r="L11" s="2">
        <f t="shared" si="0"/>
        <v>4605</v>
      </c>
      <c r="S11" s="14" t="s">
        <v>266</v>
      </c>
      <c r="T11" s="14">
        <v>3531</v>
      </c>
      <c r="U11" s="12"/>
      <c r="V11" s="12"/>
    </row>
    <row r="12" spans="1:22">
      <c r="A12" s="2">
        <v>11</v>
      </c>
      <c r="B12" s="2" t="s">
        <v>270</v>
      </c>
      <c r="C12" s="2">
        <v>2025119</v>
      </c>
      <c r="D12" s="2" t="s">
        <v>406</v>
      </c>
      <c r="E12" s="2">
        <v>754</v>
      </c>
      <c r="G12" s="2">
        <v>2025012</v>
      </c>
      <c r="H12" s="2">
        <v>0</v>
      </c>
      <c r="I12" s="2">
        <v>0</v>
      </c>
      <c r="K12" s="2">
        <v>0</v>
      </c>
      <c r="L12" s="2">
        <f t="shared" si="0"/>
        <v>0</v>
      </c>
      <c r="S12" s="14" t="s">
        <v>267</v>
      </c>
      <c r="T12" s="14">
        <v>2364</v>
      </c>
      <c r="U12" s="12"/>
      <c r="V12" s="12"/>
    </row>
    <row r="13" spans="1:22">
      <c r="A13" s="2">
        <v>12</v>
      </c>
      <c r="B13" s="2" t="s">
        <v>271</v>
      </c>
      <c r="C13" s="2">
        <v>2025119</v>
      </c>
      <c r="D13" s="2" t="s">
        <v>407</v>
      </c>
      <c r="E13" s="2">
        <v>582</v>
      </c>
      <c r="G13" s="2">
        <v>2025013</v>
      </c>
      <c r="H13" s="2">
        <v>1701</v>
      </c>
      <c r="I13" s="2">
        <v>1821</v>
      </c>
      <c r="K13" s="2">
        <v>1761</v>
      </c>
      <c r="L13" s="2">
        <f t="shared" si="0"/>
        <v>3522</v>
      </c>
      <c r="S13" s="14" t="s">
        <v>268</v>
      </c>
      <c r="T13" s="14">
        <v>750</v>
      </c>
      <c r="U13" s="12"/>
      <c r="V13" s="12"/>
    </row>
    <row r="14" spans="1:22">
      <c r="A14" s="2">
        <v>13</v>
      </c>
      <c r="B14" s="2" t="s">
        <v>272</v>
      </c>
      <c r="C14" s="2">
        <v>2025011</v>
      </c>
      <c r="D14" s="2" t="s">
        <v>406</v>
      </c>
      <c r="E14" s="2">
        <v>3628</v>
      </c>
      <c r="G14" s="2">
        <v>2025014</v>
      </c>
      <c r="H14" s="2">
        <v>0</v>
      </c>
      <c r="I14" s="2">
        <v>0</v>
      </c>
      <c r="K14" s="2">
        <v>0</v>
      </c>
      <c r="L14" s="2">
        <f t="shared" si="0"/>
        <v>0</v>
      </c>
      <c r="S14" s="14" t="s">
        <v>269</v>
      </c>
      <c r="T14" s="14">
        <v>345</v>
      </c>
      <c r="U14" s="12"/>
      <c r="V14" s="12"/>
    </row>
    <row r="15" spans="1:22">
      <c r="A15" s="2">
        <v>14</v>
      </c>
      <c r="B15" s="2" t="s">
        <v>273</v>
      </c>
      <c r="C15" s="2">
        <v>2025011</v>
      </c>
      <c r="D15" s="2" t="s">
        <v>407</v>
      </c>
      <c r="E15" s="2">
        <v>977</v>
      </c>
      <c r="G15" s="2">
        <v>2025015</v>
      </c>
      <c r="H15" s="2">
        <v>31</v>
      </c>
      <c r="I15" s="2">
        <v>189</v>
      </c>
      <c r="K15" s="2">
        <v>110</v>
      </c>
      <c r="L15" s="2">
        <f t="shared" si="0"/>
        <v>220</v>
      </c>
      <c r="S15" s="14" t="s">
        <v>270</v>
      </c>
      <c r="T15" s="14">
        <v>754</v>
      </c>
      <c r="U15" s="12"/>
      <c r="V15" s="12"/>
    </row>
    <row r="16" spans="1:22">
      <c r="A16" s="2">
        <v>15</v>
      </c>
      <c r="B16" s="2" t="s">
        <v>274</v>
      </c>
      <c r="C16" s="2">
        <v>2025120</v>
      </c>
      <c r="D16" s="2" t="s">
        <v>406</v>
      </c>
      <c r="E16" s="2">
        <v>12</v>
      </c>
      <c r="G16" s="2">
        <v>2025016</v>
      </c>
      <c r="H16" s="2">
        <v>977</v>
      </c>
      <c r="I16" s="2">
        <v>401</v>
      </c>
      <c r="K16" s="2">
        <v>689</v>
      </c>
      <c r="L16" s="2">
        <f t="shared" si="0"/>
        <v>1378</v>
      </c>
      <c r="S16" s="14" t="s">
        <v>271</v>
      </c>
      <c r="T16" s="14">
        <v>582</v>
      </c>
      <c r="U16" s="12"/>
      <c r="V16" s="12"/>
    </row>
    <row r="17" spans="1:20">
      <c r="A17" s="2">
        <v>16</v>
      </c>
      <c r="B17" s="2" t="s">
        <v>275</v>
      </c>
      <c r="C17" s="2">
        <v>2025120</v>
      </c>
      <c r="D17" s="2" t="s">
        <v>407</v>
      </c>
      <c r="E17" s="2">
        <v>118</v>
      </c>
      <c r="G17" s="2">
        <v>2025017</v>
      </c>
      <c r="H17" s="2">
        <v>994</v>
      </c>
      <c r="I17" s="2">
        <v>343</v>
      </c>
      <c r="K17" s="2">
        <v>668.5</v>
      </c>
      <c r="L17" s="2">
        <f t="shared" si="0"/>
        <v>1337</v>
      </c>
      <c r="S17" s="14" t="s">
        <v>272</v>
      </c>
      <c r="T17" s="14">
        <v>3628</v>
      </c>
    </row>
    <row r="18" spans="1:20">
      <c r="A18" s="2">
        <v>17</v>
      </c>
      <c r="B18" s="2" t="s">
        <v>276</v>
      </c>
      <c r="C18" s="2">
        <v>2025121</v>
      </c>
      <c r="D18" s="2" t="s">
        <v>406</v>
      </c>
      <c r="E18" s="2">
        <v>0</v>
      </c>
      <c r="G18" s="2">
        <v>2025018</v>
      </c>
      <c r="H18" s="2">
        <v>2523</v>
      </c>
      <c r="I18" s="2">
        <v>1219</v>
      </c>
      <c r="K18" s="2">
        <v>1871</v>
      </c>
      <c r="L18" s="2">
        <f t="shared" si="0"/>
        <v>3742</v>
      </c>
      <c r="S18" s="14" t="s">
        <v>273</v>
      </c>
      <c r="T18" s="14">
        <v>977</v>
      </c>
    </row>
    <row r="19" spans="1:20">
      <c r="A19" s="2">
        <v>18</v>
      </c>
      <c r="B19" s="2" t="s">
        <v>278</v>
      </c>
      <c r="C19" s="2">
        <v>2025121</v>
      </c>
      <c r="D19" s="2" t="s">
        <v>407</v>
      </c>
      <c r="E19" s="2">
        <v>0</v>
      </c>
      <c r="G19" s="2">
        <v>2025019</v>
      </c>
      <c r="H19" s="2">
        <v>2695</v>
      </c>
      <c r="I19" s="2">
        <v>1160</v>
      </c>
      <c r="K19" s="2">
        <v>1927.5</v>
      </c>
      <c r="L19" s="2">
        <f t="shared" si="0"/>
        <v>3855</v>
      </c>
      <c r="S19" s="14" t="s">
        <v>274</v>
      </c>
      <c r="T19" s="14">
        <v>12</v>
      </c>
    </row>
    <row r="20" spans="1:20">
      <c r="A20" s="2">
        <v>19</v>
      </c>
      <c r="B20" s="2" t="s">
        <v>279</v>
      </c>
      <c r="C20" s="2">
        <v>2025122</v>
      </c>
      <c r="D20" s="2" t="s">
        <v>406</v>
      </c>
      <c r="E20" s="2">
        <v>2650</v>
      </c>
      <c r="G20" s="2">
        <v>2025021</v>
      </c>
      <c r="H20" s="2">
        <v>933</v>
      </c>
      <c r="I20" s="2">
        <v>750</v>
      </c>
      <c r="K20" s="2">
        <v>841.5</v>
      </c>
      <c r="L20" s="2">
        <f t="shared" si="0"/>
        <v>1683</v>
      </c>
      <c r="S20" s="14" t="s">
        <v>275</v>
      </c>
      <c r="T20" s="14">
        <v>118</v>
      </c>
    </row>
    <row r="21" spans="1:20">
      <c r="A21" s="2">
        <v>20</v>
      </c>
      <c r="B21" s="2" t="s">
        <v>280</v>
      </c>
      <c r="C21" s="2">
        <v>2025122</v>
      </c>
      <c r="D21" s="2" t="s">
        <v>407</v>
      </c>
      <c r="E21" s="2">
        <v>1147</v>
      </c>
      <c r="G21" s="2">
        <v>2025022</v>
      </c>
      <c r="H21" s="2">
        <v>85</v>
      </c>
      <c r="I21" s="2">
        <v>719</v>
      </c>
      <c r="K21" s="2">
        <v>402</v>
      </c>
      <c r="L21" s="2">
        <f t="shared" si="0"/>
        <v>804</v>
      </c>
      <c r="S21" s="14" t="s">
        <v>276</v>
      </c>
      <c r="T21" s="14" t="s">
        <v>277</v>
      </c>
    </row>
    <row r="22" spans="1:20">
      <c r="A22" s="2">
        <v>21</v>
      </c>
      <c r="B22" s="2" t="s">
        <v>281</v>
      </c>
      <c r="C22" s="2">
        <v>2025123</v>
      </c>
      <c r="D22" s="2" t="s">
        <v>406</v>
      </c>
      <c r="E22" s="2">
        <v>0</v>
      </c>
      <c r="G22" s="2">
        <v>2025023</v>
      </c>
      <c r="H22" s="2">
        <v>2790</v>
      </c>
      <c r="I22" s="2">
        <v>888</v>
      </c>
      <c r="K22" s="2">
        <v>1839</v>
      </c>
      <c r="L22" s="2">
        <f t="shared" si="0"/>
        <v>3678</v>
      </c>
      <c r="S22" s="14" t="s">
        <v>278</v>
      </c>
      <c r="T22" s="14" t="s">
        <v>277</v>
      </c>
    </row>
    <row r="23" spans="1:20">
      <c r="A23" s="2">
        <v>22</v>
      </c>
      <c r="B23" s="2" t="s">
        <v>282</v>
      </c>
      <c r="C23" s="2">
        <v>2025123</v>
      </c>
      <c r="D23" s="2" t="s">
        <v>407</v>
      </c>
      <c r="E23" s="2">
        <v>0</v>
      </c>
      <c r="G23" s="2">
        <v>2025024</v>
      </c>
      <c r="H23" s="2">
        <v>2113</v>
      </c>
      <c r="I23" s="2">
        <v>675</v>
      </c>
      <c r="K23" s="2">
        <v>1394</v>
      </c>
      <c r="L23" s="2">
        <f t="shared" si="0"/>
        <v>2788</v>
      </c>
      <c r="S23" s="14" t="s">
        <v>279</v>
      </c>
      <c r="T23" s="14">
        <v>2650</v>
      </c>
    </row>
    <row r="24" spans="1:20">
      <c r="A24" s="2">
        <v>23</v>
      </c>
      <c r="B24" s="2" t="s">
        <v>283</v>
      </c>
      <c r="C24" s="2">
        <v>2025124</v>
      </c>
      <c r="D24" s="2" t="s">
        <v>406</v>
      </c>
      <c r="E24" s="2">
        <v>2564</v>
      </c>
      <c r="G24" s="2">
        <v>2025025</v>
      </c>
      <c r="H24" s="2">
        <v>2237</v>
      </c>
      <c r="I24" s="2">
        <v>951</v>
      </c>
      <c r="K24" s="2">
        <v>1594</v>
      </c>
      <c r="L24" s="2">
        <f t="shared" si="0"/>
        <v>3188</v>
      </c>
      <c r="S24" s="14" t="s">
        <v>280</v>
      </c>
      <c r="T24" s="14">
        <v>1147</v>
      </c>
    </row>
    <row r="25" spans="1:20">
      <c r="A25" s="2">
        <v>24</v>
      </c>
      <c r="B25" s="2" t="s">
        <v>284</v>
      </c>
      <c r="C25" s="2">
        <v>2025124</v>
      </c>
      <c r="D25" s="2" t="s">
        <v>407</v>
      </c>
      <c r="E25" s="2">
        <v>2102</v>
      </c>
      <c r="G25" s="2">
        <v>2025026</v>
      </c>
      <c r="H25" s="2">
        <v>0</v>
      </c>
      <c r="I25" s="2">
        <v>0</v>
      </c>
      <c r="K25" s="2">
        <v>0</v>
      </c>
      <c r="L25" s="2">
        <f t="shared" si="0"/>
        <v>0</v>
      </c>
      <c r="S25" s="14" t="s">
        <v>281</v>
      </c>
      <c r="T25" s="14" t="s">
        <v>277</v>
      </c>
    </row>
    <row r="26" spans="1:20">
      <c r="A26" s="2">
        <v>25</v>
      </c>
      <c r="B26" s="2" t="s">
        <v>285</v>
      </c>
      <c r="C26" s="2">
        <v>2025125</v>
      </c>
      <c r="D26" s="2" t="s">
        <v>406</v>
      </c>
      <c r="E26" s="2">
        <v>1891</v>
      </c>
      <c r="G26" s="2">
        <v>2025027</v>
      </c>
      <c r="H26" s="2">
        <v>39</v>
      </c>
      <c r="I26" s="2">
        <v>161</v>
      </c>
      <c r="K26" s="2">
        <v>100</v>
      </c>
      <c r="L26" s="2">
        <f t="shared" si="0"/>
        <v>200</v>
      </c>
      <c r="S26" s="14" t="s">
        <v>282</v>
      </c>
      <c r="T26" s="14" t="s">
        <v>277</v>
      </c>
    </row>
    <row r="27" spans="1:20">
      <c r="A27" s="2">
        <v>26</v>
      </c>
      <c r="B27" s="2" t="s">
        <v>286</v>
      </c>
      <c r="C27" s="2">
        <v>2025125</v>
      </c>
      <c r="D27" s="2" t="s">
        <v>407</v>
      </c>
      <c r="E27" s="2">
        <v>891</v>
      </c>
      <c r="G27" s="2">
        <v>2025028</v>
      </c>
      <c r="H27" s="2">
        <v>2715</v>
      </c>
      <c r="I27" s="2">
        <v>1696</v>
      </c>
      <c r="K27" s="2">
        <v>2205.5</v>
      </c>
      <c r="L27" s="2">
        <f t="shared" si="0"/>
        <v>4411</v>
      </c>
      <c r="S27" s="14" t="s">
        <v>283</v>
      </c>
      <c r="T27" s="14">
        <v>2564</v>
      </c>
    </row>
    <row r="28" spans="1:20">
      <c r="A28" s="2">
        <v>27</v>
      </c>
      <c r="B28" s="2" t="s">
        <v>287</v>
      </c>
      <c r="C28" s="2">
        <v>2025126</v>
      </c>
      <c r="D28" s="2" t="s">
        <v>406</v>
      </c>
      <c r="E28" s="2">
        <v>2057</v>
      </c>
      <c r="G28" s="2">
        <v>2025029</v>
      </c>
      <c r="H28" s="2">
        <v>1294</v>
      </c>
      <c r="I28" s="2">
        <v>454</v>
      </c>
      <c r="K28" s="2">
        <v>874</v>
      </c>
      <c r="L28" s="2">
        <f t="shared" si="0"/>
        <v>1748</v>
      </c>
      <c r="S28" s="14" t="s">
        <v>284</v>
      </c>
      <c r="T28" s="14">
        <v>2102</v>
      </c>
    </row>
    <row r="29" spans="1:20">
      <c r="A29" s="2">
        <v>28</v>
      </c>
      <c r="B29" s="2" t="s">
        <v>288</v>
      </c>
      <c r="C29" s="2">
        <v>2025126</v>
      </c>
      <c r="D29" s="2" t="s">
        <v>407</v>
      </c>
      <c r="E29" s="2">
        <v>1686</v>
      </c>
      <c r="G29" s="2">
        <v>2025030</v>
      </c>
      <c r="H29" s="2">
        <v>228</v>
      </c>
      <c r="I29" s="2">
        <v>191</v>
      </c>
      <c r="K29" s="2">
        <v>209.5</v>
      </c>
      <c r="L29" s="2">
        <f t="shared" si="0"/>
        <v>419</v>
      </c>
      <c r="S29" s="14" t="s">
        <v>285</v>
      </c>
      <c r="T29" s="14">
        <v>1891</v>
      </c>
    </row>
    <row r="30" spans="1:20">
      <c r="A30" s="2">
        <v>29</v>
      </c>
      <c r="B30" s="2" t="s">
        <v>289</v>
      </c>
      <c r="C30" s="2">
        <v>2025127</v>
      </c>
      <c r="D30" s="2" t="s">
        <v>406</v>
      </c>
      <c r="E30" s="2">
        <v>926</v>
      </c>
      <c r="G30" s="2">
        <v>2025031</v>
      </c>
      <c r="H30" s="2">
        <v>0</v>
      </c>
      <c r="I30" s="2">
        <v>0</v>
      </c>
      <c r="K30" s="2">
        <v>0</v>
      </c>
      <c r="L30" s="2">
        <f t="shared" si="0"/>
        <v>0</v>
      </c>
      <c r="S30" s="14" t="s">
        <v>286</v>
      </c>
      <c r="T30" s="14">
        <v>891</v>
      </c>
    </row>
    <row r="31" spans="1:20">
      <c r="A31" s="2">
        <v>30</v>
      </c>
      <c r="B31" s="2" t="s">
        <v>290</v>
      </c>
      <c r="C31" s="2">
        <v>2025127</v>
      </c>
      <c r="D31" s="2" t="s">
        <v>407</v>
      </c>
      <c r="E31" s="2">
        <v>1187</v>
      </c>
      <c r="G31" s="2">
        <v>2025034</v>
      </c>
      <c r="H31" s="2">
        <v>0</v>
      </c>
      <c r="I31" s="2">
        <v>0</v>
      </c>
      <c r="K31" s="2">
        <v>0</v>
      </c>
      <c r="L31" s="2">
        <f t="shared" si="0"/>
        <v>0</v>
      </c>
      <c r="S31" s="14" t="s">
        <v>287</v>
      </c>
      <c r="T31" s="14">
        <v>2057</v>
      </c>
    </row>
    <row r="32" spans="1:20">
      <c r="A32" s="2">
        <v>31</v>
      </c>
      <c r="B32" s="2" t="s">
        <v>291</v>
      </c>
      <c r="C32" s="2">
        <v>2025128</v>
      </c>
      <c r="D32" s="2" t="s">
        <v>406</v>
      </c>
      <c r="E32" s="2">
        <v>2434</v>
      </c>
      <c r="G32" s="2">
        <v>2025035</v>
      </c>
      <c r="H32" s="2">
        <v>209</v>
      </c>
      <c r="I32" s="2">
        <v>248</v>
      </c>
      <c r="K32" s="2">
        <v>228.5</v>
      </c>
      <c r="L32" s="2">
        <f t="shared" si="0"/>
        <v>457</v>
      </c>
      <c r="S32" s="14" t="s">
        <v>288</v>
      </c>
      <c r="T32" s="14">
        <v>1686</v>
      </c>
    </row>
    <row r="33" spans="1:20">
      <c r="A33" s="2">
        <v>32</v>
      </c>
      <c r="B33" s="2" t="s">
        <v>292</v>
      </c>
      <c r="C33" s="2">
        <v>2025128</v>
      </c>
      <c r="D33" s="2" t="s">
        <v>407</v>
      </c>
      <c r="E33" s="2">
        <v>1076</v>
      </c>
      <c r="G33" s="2">
        <v>2025036</v>
      </c>
      <c r="H33" s="2">
        <v>645</v>
      </c>
      <c r="I33" s="2">
        <v>607</v>
      </c>
      <c r="K33" s="2">
        <v>626</v>
      </c>
      <c r="L33" s="2">
        <f t="shared" si="0"/>
        <v>1252</v>
      </c>
      <c r="S33" s="14" t="s">
        <v>289</v>
      </c>
      <c r="T33" s="14">
        <v>926</v>
      </c>
    </row>
    <row r="34" spans="1:20">
      <c r="A34" s="2">
        <v>33</v>
      </c>
      <c r="B34" s="2" t="s">
        <v>293</v>
      </c>
      <c r="C34" s="2">
        <v>2025012</v>
      </c>
      <c r="D34" s="2" t="s">
        <v>406</v>
      </c>
      <c r="E34" s="2">
        <v>0</v>
      </c>
      <c r="G34" s="2">
        <v>2025037</v>
      </c>
      <c r="H34" s="2">
        <v>1871</v>
      </c>
      <c r="I34" s="2">
        <v>1585</v>
      </c>
      <c r="K34" s="2">
        <v>1728</v>
      </c>
      <c r="L34" s="2">
        <f t="shared" si="0"/>
        <v>3456</v>
      </c>
      <c r="S34" s="14" t="s">
        <v>290</v>
      </c>
      <c r="T34" s="14">
        <v>1187</v>
      </c>
    </row>
    <row r="35" spans="1:20">
      <c r="A35" s="2">
        <v>34</v>
      </c>
      <c r="B35" s="2" t="s">
        <v>294</v>
      </c>
      <c r="C35" s="2">
        <v>2025012</v>
      </c>
      <c r="D35" s="2" t="s">
        <v>407</v>
      </c>
      <c r="E35" s="2">
        <v>0</v>
      </c>
      <c r="G35" s="2">
        <v>2025038</v>
      </c>
      <c r="H35" s="2">
        <v>1642</v>
      </c>
      <c r="I35" s="2">
        <v>1381</v>
      </c>
      <c r="K35" s="2">
        <v>1511.5</v>
      </c>
      <c r="L35" s="2">
        <f t="shared" si="0"/>
        <v>3023</v>
      </c>
      <c r="S35" s="14" t="s">
        <v>291</v>
      </c>
      <c r="T35" s="14">
        <v>2434</v>
      </c>
    </row>
    <row r="36" spans="1:20">
      <c r="A36" s="2">
        <v>35</v>
      </c>
      <c r="B36" s="2" t="s">
        <v>295</v>
      </c>
      <c r="C36" s="2">
        <v>2025130</v>
      </c>
      <c r="D36" s="2" t="s">
        <v>406</v>
      </c>
      <c r="E36" s="2">
        <v>0</v>
      </c>
      <c r="G36" s="2">
        <v>2025040</v>
      </c>
      <c r="H36" s="2">
        <v>0</v>
      </c>
      <c r="I36" s="2">
        <v>0</v>
      </c>
      <c r="K36" s="2">
        <v>0</v>
      </c>
      <c r="L36" s="2">
        <f t="shared" si="0"/>
        <v>0</v>
      </c>
      <c r="S36" s="14" t="s">
        <v>292</v>
      </c>
      <c r="T36" s="14">
        <v>1076</v>
      </c>
    </row>
    <row r="37" spans="1:20">
      <c r="A37" s="2">
        <v>36</v>
      </c>
      <c r="B37" s="2" t="s">
        <v>296</v>
      </c>
      <c r="C37" s="2">
        <v>2025130</v>
      </c>
      <c r="D37" s="2" t="s">
        <v>407</v>
      </c>
      <c r="E37" s="2">
        <v>125</v>
      </c>
      <c r="G37" s="2">
        <v>2025081</v>
      </c>
      <c r="H37" s="2">
        <v>2745</v>
      </c>
      <c r="I37" s="2">
        <v>1244</v>
      </c>
      <c r="K37" s="2">
        <v>1994.5</v>
      </c>
      <c r="L37" s="2">
        <f t="shared" si="0"/>
        <v>3989</v>
      </c>
      <c r="S37" s="14" t="s">
        <v>293</v>
      </c>
      <c r="T37" s="14" t="s">
        <v>277</v>
      </c>
    </row>
    <row r="38" spans="1:20">
      <c r="A38" s="2">
        <v>37</v>
      </c>
      <c r="B38" s="2" t="s">
        <v>297</v>
      </c>
      <c r="C38" s="2">
        <v>2025132</v>
      </c>
      <c r="D38" s="2" t="s">
        <v>406</v>
      </c>
      <c r="E38" s="2">
        <v>821</v>
      </c>
      <c r="G38" s="2">
        <v>2025082</v>
      </c>
      <c r="H38" s="2">
        <v>400</v>
      </c>
      <c r="I38" s="2">
        <v>338</v>
      </c>
      <c r="K38" s="2">
        <v>369</v>
      </c>
      <c r="L38" s="2">
        <f t="shared" si="0"/>
        <v>738</v>
      </c>
      <c r="S38" s="14" t="s">
        <v>294</v>
      </c>
      <c r="T38" s="14" t="s">
        <v>277</v>
      </c>
    </row>
    <row r="39" spans="1:20">
      <c r="A39" s="2">
        <v>38</v>
      </c>
      <c r="B39" s="2" t="s">
        <v>298</v>
      </c>
      <c r="C39" s="2">
        <v>2025132</v>
      </c>
      <c r="D39" s="2" t="s">
        <v>407</v>
      </c>
      <c r="E39" s="2">
        <v>561</v>
      </c>
      <c r="G39" s="2">
        <v>2025084</v>
      </c>
      <c r="H39" s="2">
        <v>1514</v>
      </c>
      <c r="I39" s="2">
        <v>556</v>
      </c>
      <c r="K39" s="2">
        <v>1035</v>
      </c>
      <c r="L39" s="2">
        <f t="shared" si="0"/>
        <v>2070</v>
      </c>
      <c r="S39" s="14" t="s">
        <v>295</v>
      </c>
      <c r="T39" s="14" t="s">
        <v>277</v>
      </c>
    </row>
    <row r="40" spans="1:20">
      <c r="A40" s="2">
        <v>39</v>
      </c>
      <c r="B40" s="2" t="s">
        <v>299</v>
      </c>
      <c r="C40" s="2">
        <v>2025133</v>
      </c>
      <c r="D40" s="2" t="s">
        <v>406</v>
      </c>
      <c r="E40" s="2">
        <v>951</v>
      </c>
      <c r="G40" s="2">
        <v>2025085</v>
      </c>
      <c r="H40" s="2">
        <v>2566</v>
      </c>
      <c r="I40" s="2">
        <v>1512</v>
      </c>
      <c r="K40" s="2">
        <v>2039</v>
      </c>
      <c r="L40" s="2">
        <f t="shared" si="0"/>
        <v>4078</v>
      </c>
      <c r="S40" s="14" t="s">
        <v>296</v>
      </c>
      <c r="T40" s="14">
        <v>125</v>
      </c>
    </row>
    <row r="41" spans="1:20">
      <c r="A41" s="2">
        <v>40</v>
      </c>
      <c r="B41" s="2" t="s">
        <v>300</v>
      </c>
      <c r="C41" s="2">
        <v>2025133</v>
      </c>
      <c r="D41" s="2" t="s">
        <v>407</v>
      </c>
      <c r="E41" s="2">
        <v>578</v>
      </c>
      <c r="G41" s="2">
        <v>2025086</v>
      </c>
      <c r="H41" s="2">
        <v>3538</v>
      </c>
      <c r="I41" s="2">
        <v>2263</v>
      </c>
      <c r="K41" s="2">
        <v>2900.5</v>
      </c>
      <c r="L41" s="2">
        <f t="shared" si="0"/>
        <v>5801</v>
      </c>
      <c r="S41" s="14" t="s">
        <v>297</v>
      </c>
      <c r="T41" s="14">
        <v>821</v>
      </c>
    </row>
    <row r="42" spans="1:20">
      <c r="A42" s="2">
        <v>41</v>
      </c>
      <c r="B42" s="2" t="s">
        <v>301</v>
      </c>
      <c r="C42" s="2">
        <v>2025134</v>
      </c>
      <c r="D42" s="2" t="s">
        <v>406</v>
      </c>
      <c r="E42" s="2">
        <v>12</v>
      </c>
      <c r="G42" s="2">
        <v>2025087</v>
      </c>
      <c r="H42" s="2">
        <v>1780</v>
      </c>
      <c r="I42" s="2">
        <v>1728</v>
      </c>
      <c r="K42" s="2">
        <v>1754</v>
      </c>
      <c r="L42" s="2">
        <f t="shared" si="0"/>
        <v>3508</v>
      </c>
      <c r="S42" s="14" t="s">
        <v>298</v>
      </c>
      <c r="T42" s="14">
        <v>561</v>
      </c>
    </row>
    <row r="43" spans="1:20">
      <c r="A43" s="2">
        <v>42</v>
      </c>
      <c r="B43" s="2" t="s">
        <v>302</v>
      </c>
      <c r="C43" s="2">
        <v>2025134</v>
      </c>
      <c r="D43" s="2" t="s">
        <v>407</v>
      </c>
      <c r="E43" s="2">
        <v>0</v>
      </c>
      <c r="G43" s="2">
        <v>2025088</v>
      </c>
      <c r="H43" s="2">
        <v>3113</v>
      </c>
      <c r="I43" s="2">
        <v>899</v>
      </c>
      <c r="K43" s="2">
        <v>2006</v>
      </c>
      <c r="L43" s="2">
        <f t="shared" si="0"/>
        <v>4012</v>
      </c>
      <c r="S43" s="14" t="s">
        <v>299</v>
      </c>
      <c r="T43" s="14">
        <v>951</v>
      </c>
    </row>
    <row r="44" spans="1:20">
      <c r="A44" s="2">
        <v>43</v>
      </c>
      <c r="B44" s="2" t="s">
        <v>303</v>
      </c>
      <c r="C44" s="2">
        <v>2025137</v>
      </c>
      <c r="D44" s="2" t="s">
        <v>406</v>
      </c>
      <c r="E44" s="2">
        <v>1476</v>
      </c>
      <c r="G44" s="2">
        <v>2025089</v>
      </c>
      <c r="H44" s="2">
        <v>857</v>
      </c>
      <c r="I44" s="2">
        <v>705</v>
      </c>
      <c r="K44" s="2">
        <v>781</v>
      </c>
      <c r="L44" s="2">
        <f t="shared" si="0"/>
        <v>1562</v>
      </c>
      <c r="S44" s="14" t="s">
        <v>300</v>
      </c>
      <c r="T44" s="14">
        <v>578</v>
      </c>
    </row>
    <row r="45" spans="1:20">
      <c r="A45" s="2">
        <v>44</v>
      </c>
      <c r="B45" s="2" t="s">
        <v>304</v>
      </c>
      <c r="C45" s="2">
        <v>2025137</v>
      </c>
      <c r="D45" s="2" t="s">
        <v>407</v>
      </c>
      <c r="E45" s="2">
        <v>1194</v>
      </c>
      <c r="G45" s="2">
        <v>2025091</v>
      </c>
      <c r="H45" s="2">
        <v>1230</v>
      </c>
      <c r="I45" s="2">
        <v>990</v>
      </c>
      <c r="K45" s="2">
        <v>1110</v>
      </c>
      <c r="L45" s="2">
        <f t="shared" si="0"/>
        <v>2220</v>
      </c>
      <c r="S45" s="14" t="s">
        <v>301</v>
      </c>
      <c r="T45" s="14">
        <v>12</v>
      </c>
    </row>
    <row r="46" spans="1:20">
      <c r="A46" s="2">
        <v>45</v>
      </c>
      <c r="B46" s="2" t="s">
        <v>305</v>
      </c>
      <c r="C46" s="2">
        <v>2025138</v>
      </c>
      <c r="D46" s="2" t="s">
        <v>406</v>
      </c>
      <c r="E46" s="2">
        <v>1220</v>
      </c>
      <c r="G46" s="2">
        <v>2025092</v>
      </c>
      <c r="H46" s="2">
        <v>992</v>
      </c>
      <c r="I46" s="2">
        <v>377</v>
      </c>
      <c r="K46" s="2">
        <v>684.5</v>
      </c>
      <c r="L46" s="2">
        <f t="shared" si="0"/>
        <v>1369</v>
      </c>
      <c r="S46" s="14" t="s">
        <v>302</v>
      </c>
      <c r="T46" s="14" t="s">
        <v>277</v>
      </c>
    </row>
    <row r="47" spans="1:20">
      <c r="A47" s="2">
        <v>46</v>
      </c>
      <c r="B47" s="2" t="s">
        <v>306</v>
      </c>
      <c r="C47" s="2">
        <v>2025138</v>
      </c>
      <c r="D47" s="2" t="s">
        <v>407</v>
      </c>
      <c r="E47" s="2">
        <v>2529</v>
      </c>
      <c r="G47" s="2">
        <v>2025093</v>
      </c>
      <c r="H47" s="2">
        <v>1076</v>
      </c>
      <c r="I47" s="2">
        <v>803</v>
      </c>
      <c r="K47" s="2">
        <v>939.5</v>
      </c>
      <c r="L47" s="2">
        <f t="shared" si="0"/>
        <v>1879</v>
      </c>
      <c r="S47" s="14" t="s">
        <v>303</v>
      </c>
      <c r="T47" s="14">
        <v>1476</v>
      </c>
    </row>
    <row r="48" spans="1:20">
      <c r="A48" s="2">
        <v>47</v>
      </c>
      <c r="B48" s="2" t="s">
        <v>307</v>
      </c>
      <c r="C48" s="2">
        <v>2025013</v>
      </c>
      <c r="D48" s="2" t="s">
        <v>406</v>
      </c>
      <c r="E48" s="2">
        <v>1701</v>
      </c>
      <c r="G48" s="2">
        <v>2025113</v>
      </c>
      <c r="H48" s="2">
        <v>1876</v>
      </c>
      <c r="I48" s="2">
        <v>608</v>
      </c>
      <c r="K48" s="2">
        <v>1242</v>
      </c>
      <c r="L48" s="2">
        <f t="shared" si="0"/>
        <v>2484</v>
      </c>
      <c r="S48" s="14" t="s">
        <v>304</v>
      </c>
      <c r="T48" s="14">
        <v>1194</v>
      </c>
    </row>
    <row r="49" spans="1:20">
      <c r="A49" s="2">
        <v>48</v>
      </c>
      <c r="B49" s="2" t="s">
        <v>308</v>
      </c>
      <c r="C49" s="2">
        <v>2025013</v>
      </c>
      <c r="D49" s="2" t="s">
        <v>407</v>
      </c>
      <c r="E49" s="2">
        <v>1821</v>
      </c>
      <c r="G49" s="2">
        <v>2025115</v>
      </c>
      <c r="H49" s="2">
        <v>3982</v>
      </c>
      <c r="I49" s="2">
        <v>2080</v>
      </c>
      <c r="K49" s="2">
        <v>3031</v>
      </c>
      <c r="L49" s="2">
        <f t="shared" si="0"/>
        <v>6062</v>
      </c>
      <c r="S49" s="14" t="s">
        <v>305</v>
      </c>
      <c r="T49" s="14">
        <v>1220</v>
      </c>
    </row>
    <row r="50" spans="1:20">
      <c r="A50" s="2">
        <v>49</v>
      </c>
      <c r="B50" s="2" t="s">
        <v>309</v>
      </c>
      <c r="C50" s="2">
        <v>2025140</v>
      </c>
      <c r="D50" s="2" t="s">
        <v>406</v>
      </c>
      <c r="E50" s="2">
        <v>1415</v>
      </c>
      <c r="G50" s="2">
        <v>2025116</v>
      </c>
      <c r="H50" s="2">
        <v>3531</v>
      </c>
      <c r="I50" s="2">
        <v>2364</v>
      </c>
      <c r="K50" s="2">
        <v>2947.5</v>
      </c>
      <c r="L50" s="2">
        <f t="shared" si="0"/>
        <v>5895</v>
      </c>
      <c r="S50" s="14" t="s">
        <v>306</v>
      </c>
      <c r="T50" s="14">
        <v>2529</v>
      </c>
    </row>
    <row r="51" spans="1:20">
      <c r="A51" s="2">
        <v>50</v>
      </c>
      <c r="B51" s="2" t="s">
        <v>310</v>
      </c>
      <c r="C51" s="2">
        <v>2025140</v>
      </c>
      <c r="D51" s="2" t="s">
        <v>407</v>
      </c>
      <c r="E51" s="2">
        <v>833</v>
      </c>
      <c r="G51" s="2">
        <v>2025117</v>
      </c>
      <c r="H51" s="2">
        <v>750</v>
      </c>
      <c r="I51" s="2">
        <v>345</v>
      </c>
      <c r="K51" s="2">
        <v>547.5</v>
      </c>
      <c r="L51" s="2">
        <f t="shared" si="0"/>
        <v>1095</v>
      </c>
      <c r="S51" s="14" t="s">
        <v>307</v>
      </c>
      <c r="T51" s="14">
        <v>1701</v>
      </c>
    </row>
    <row r="52" spans="1:20">
      <c r="A52" s="2">
        <v>51</v>
      </c>
      <c r="B52" s="2" t="s">
        <v>311</v>
      </c>
      <c r="C52" s="2">
        <v>2025141</v>
      </c>
      <c r="D52" s="2" t="s">
        <v>406</v>
      </c>
      <c r="E52" s="2">
        <v>1552</v>
      </c>
      <c r="G52" s="2">
        <v>2025119</v>
      </c>
      <c r="H52" s="2">
        <v>754</v>
      </c>
      <c r="I52" s="2">
        <v>582</v>
      </c>
      <c r="K52" s="2">
        <v>668</v>
      </c>
      <c r="L52" s="2">
        <f t="shared" si="0"/>
        <v>1336</v>
      </c>
      <c r="S52" s="14" t="s">
        <v>308</v>
      </c>
      <c r="T52" s="14">
        <v>1821</v>
      </c>
    </row>
    <row r="53" spans="1:20">
      <c r="A53" s="2">
        <v>52</v>
      </c>
      <c r="B53" s="2" t="s">
        <v>312</v>
      </c>
      <c r="C53" s="2">
        <v>2025141</v>
      </c>
      <c r="D53" s="2" t="s">
        <v>407</v>
      </c>
      <c r="E53" s="2">
        <v>561</v>
      </c>
      <c r="G53" s="2">
        <v>2025120</v>
      </c>
      <c r="H53" s="2">
        <v>12</v>
      </c>
      <c r="I53" s="2">
        <v>118</v>
      </c>
      <c r="K53" s="2">
        <v>65</v>
      </c>
      <c r="L53" s="2">
        <f t="shared" si="0"/>
        <v>130</v>
      </c>
      <c r="S53" s="14" t="s">
        <v>309</v>
      </c>
      <c r="T53" s="14">
        <v>1415</v>
      </c>
    </row>
    <row r="54" spans="1:20">
      <c r="A54" s="2">
        <v>53</v>
      </c>
      <c r="B54" s="2" t="s">
        <v>313</v>
      </c>
      <c r="C54" s="2">
        <v>2025142</v>
      </c>
      <c r="D54" s="2" t="s">
        <v>406</v>
      </c>
      <c r="E54" s="2">
        <v>2799</v>
      </c>
      <c r="G54" s="2">
        <v>2025121</v>
      </c>
      <c r="H54" s="2">
        <v>0</v>
      </c>
      <c r="I54" s="2">
        <v>0</v>
      </c>
      <c r="K54" s="2">
        <v>0</v>
      </c>
      <c r="L54" s="2">
        <f t="shared" si="0"/>
        <v>0</v>
      </c>
      <c r="S54" s="14" t="s">
        <v>310</v>
      </c>
      <c r="T54" s="14">
        <v>833</v>
      </c>
    </row>
    <row r="55" spans="1:20">
      <c r="A55" s="2">
        <v>54</v>
      </c>
      <c r="B55" s="2" t="s">
        <v>314</v>
      </c>
      <c r="C55" s="2">
        <v>2025142</v>
      </c>
      <c r="D55" s="2" t="s">
        <v>407</v>
      </c>
      <c r="E55" s="2">
        <v>1299</v>
      </c>
      <c r="G55" s="2">
        <v>2025122</v>
      </c>
      <c r="H55" s="2">
        <v>2650</v>
      </c>
      <c r="I55" s="2">
        <v>1147</v>
      </c>
      <c r="K55" s="2">
        <v>1898.5</v>
      </c>
      <c r="L55" s="2">
        <f t="shared" si="0"/>
        <v>3797</v>
      </c>
      <c r="S55" s="14" t="s">
        <v>311</v>
      </c>
      <c r="T55" s="14">
        <v>1552</v>
      </c>
    </row>
    <row r="56" spans="1:20">
      <c r="A56" s="2">
        <v>55</v>
      </c>
      <c r="B56" s="2" t="s">
        <v>315</v>
      </c>
      <c r="C56" s="2">
        <v>2025148</v>
      </c>
      <c r="D56" s="2" t="s">
        <v>406</v>
      </c>
      <c r="E56" s="2">
        <v>392</v>
      </c>
      <c r="G56" s="2">
        <v>2025123</v>
      </c>
      <c r="H56" s="2">
        <v>0</v>
      </c>
      <c r="I56" s="2">
        <v>0</v>
      </c>
      <c r="K56" s="2">
        <v>0</v>
      </c>
      <c r="L56" s="2">
        <f t="shared" si="0"/>
        <v>0</v>
      </c>
      <c r="S56" s="14" t="s">
        <v>312</v>
      </c>
      <c r="T56" s="14">
        <v>561</v>
      </c>
    </row>
    <row r="57" spans="1:20">
      <c r="A57" s="2">
        <v>56</v>
      </c>
      <c r="B57" s="2" t="s">
        <v>316</v>
      </c>
      <c r="C57" s="2">
        <v>2025148</v>
      </c>
      <c r="D57" s="2" t="s">
        <v>407</v>
      </c>
      <c r="E57" s="2">
        <v>156</v>
      </c>
      <c r="G57" s="2">
        <v>2025124</v>
      </c>
      <c r="H57" s="2">
        <v>2564</v>
      </c>
      <c r="I57" s="2">
        <v>2102</v>
      </c>
      <c r="K57" s="2">
        <v>2333</v>
      </c>
      <c r="L57" s="2">
        <f t="shared" si="0"/>
        <v>4666</v>
      </c>
      <c r="S57" s="14" t="s">
        <v>313</v>
      </c>
      <c r="T57" s="14">
        <v>2799</v>
      </c>
    </row>
    <row r="58" spans="1:20">
      <c r="A58" s="2">
        <v>57</v>
      </c>
      <c r="B58" s="2" t="s">
        <v>317</v>
      </c>
      <c r="C58" s="2">
        <v>2025149</v>
      </c>
      <c r="D58" s="2" t="s">
        <v>406</v>
      </c>
      <c r="E58" s="2">
        <v>465</v>
      </c>
      <c r="G58" s="2">
        <v>2025125</v>
      </c>
      <c r="H58" s="2">
        <v>1891</v>
      </c>
      <c r="I58" s="2">
        <v>891</v>
      </c>
      <c r="K58" s="2">
        <v>1391</v>
      </c>
      <c r="L58" s="2">
        <f t="shared" si="0"/>
        <v>2782</v>
      </c>
      <c r="S58" s="14" t="s">
        <v>314</v>
      </c>
      <c r="T58" s="14">
        <v>1299</v>
      </c>
    </row>
    <row r="59" spans="1:20">
      <c r="A59" s="2">
        <v>58</v>
      </c>
      <c r="B59" s="2" t="s">
        <v>318</v>
      </c>
      <c r="C59" s="2">
        <v>2025149</v>
      </c>
      <c r="D59" s="2" t="s">
        <v>407</v>
      </c>
      <c r="E59" s="2">
        <v>1025</v>
      </c>
      <c r="G59" s="2">
        <v>2025126</v>
      </c>
      <c r="H59" s="2">
        <v>2057</v>
      </c>
      <c r="I59" s="2">
        <v>1686</v>
      </c>
      <c r="K59" s="2">
        <v>1871.5</v>
      </c>
      <c r="L59" s="2">
        <f t="shared" si="0"/>
        <v>3743</v>
      </c>
      <c r="S59" s="14" t="s">
        <v>315</v>
      </c>
      <c r="T59" s="14">
        <v>392</v>
      </c>
    </row>
    <row r="60" spans="1:20">
      <c r="A60" s="2">
        <v>59</v>
      </c>
      <c r="B60" s="2" t="s">
        <v>319</v>
      </c>
      <c r="C60" s="2">
        <v>2025014</v>
      </c>
      <c r="D60" s="2" t="s">
        <v>406</v>
      </c>
      <c r="E60" s="2">
        <v>0</v>
      </c>
      <c r="G60" s="2">
        <v>2025127</v>
      </c>
      <c r="H60" s="2">
        <v>926</v>
      </c>
      <c r="I60" s="2">
        <v>1187</v>
      </c>
      <c r="K60" s="2">
        <v>1056.5</v>
      </c>
      <c r="L60" s="2">
        <f t="shared" si="0"/>
        <v>2113</v>
      </c>
      <c r="S60" s="14" t="s">
        <v>316</v>
      </c>
      <c r="T60" s="14">
        <v>156</v>
      </c>
    </row>
    <row r="61" spans="1:20">
      <c r="A61" s="2">
        <v>60</v>
      </c>
      <c r="B61" s="2" t="s">
        <v>320</v>
      </c>
      <c r="C61" s="2">
        <v>2025014</v>
      </c>
      <c r="D61" s="2" t="s">
        <v>407</v>
      </c>
      <c r="E61" s="2">
        <v>0</v>
      </c>
      <c r="G61" s="2">
        <v>2025128</v>
      </c>
      <c r="H61" s="2">
        <v>2434</v>
      </c>
      <c r="I61" s="2">
        <v>1076</v>
      </c>
      <c r="K61" s="2">
        <v>1755</v>
      </c>
      <c r="L61" s="2">
        <f t="shared" si="0"/>
        <v>3510</v>
      </c>
      <c r="S61" s="14" t="s">
        <v>317</v>
      </c>
      <c r="T61" s="14">
        <v>465</v>
      </c>
    </row>
    <row r="62" spans="1:20">
      <c r="A62" s="2">
        <v>61</v>
      </c>
      <c r="B62" s="2" t="s">
        <v>321</v>
      </c>
      <c r="C62" s="2">
        <v>2025150</v>
      </c>
      <c r="D62" s="2" t="s">
        <v>406</v>
      </c>
      <c r="E62" s="2">
        <v>931</v>
      </c>
      <c r="G62" s="2">
        <v>2025130</v>
      </c>
      <c r="H62" s="2">
        <v>0</v>
      </c>
      <c r="I62" s="2">
        <v>125</v>
      </c>
      <c r="K62" s="2">
        <v>62.5</v>
      </c>
      <c r="L62" s="2">
        <f t="shared" si="0"/>
        <v>125</v>
      </c>
      <c r="S62" s="14" t="s">
        <v>318</v>
      </c>
      <c r="T62" s="14">
        <v>1025</v>
      </c>
    </row>
    <row r="63" spans="1:20">
      <c r="A63" s="2">
        <v>62</v>
      </c>
      <c r="B63" s="2" t="s">
        <v>322</v>
      </c>
      <c r="C63" s="2">
        <v>2025150</v>
      </c>
      <c r="D63" s="2" t="s">
        <v>407</v>
      </c>
      <c r="E63" s="2">
        <v>712</v>
      </c>
      <c r="G63" s="2">
        <v>2025132</v>
      </c>
      <c r="H63" s="2">
        <v>821</v>
      </c>
      <c r="I63" s="2">
        <v>561</v>
      </c>
      <c r="K63" s="2">
        <v>691</v>
      </c>
      <c r="L63" s="2">
        <f t="shared" si="0"/>
        <v>1382</v>
      </c>
      <c r="S63" s="14" t="s">
        <v>319</v>
      </c>
      <c r="T63" s="14" t="s">
        <v>277</v>
      </c>
    </row>
    <row r="64" spans="1:20">
      <c r="A64" s="2">
        <v>63</v>
      </c>
      <c r="B64" s="2" t="s">
        <v>323</v>
      </c>
      <c r="C64" s="2">
        <v>2025151</v>
      </c>
      <c r="D64" s="2" t="s">
        <v>406</v>
      </c>
      <c r="E64" s="2">
        <v>510</v>
      </c>
      <c r="G64" s="2">
        <v>2025133</v>
      </c>
      <c r="H64" s="2">
        <v>951</v>
      </c>
      <c r="I64" s="2">
        <v>578</v>
      </c>
      <c r="K64" s="2">
        <v>764.5</v>
      </c>
      <c r="L64" s="2">
        <f t="shared" si="0"/>
        <v>1529</v>
      </c>
      <c r="S64" s="14" t="s">
        <v>320</v>
      </c>
      <c r="T64" s="14" t="s">
        <v>277</v>
      </c>
    </row>
    <row r="65" spans="1:20">
      <c r="A65" s="2">
        <v>64</v>
      </c>
      <c r="B65" s="2" t="s">
        <v>324</v>
      </c>
      <c r="C65" s="2">
        <v>2025151</v>
      </c>
      <c r="D65" s="2" t="s">
        <v>407</v>
      </c>
      <c r="E65" s="2">
        <v>557</v>
      </c>
      <c r="G65" s="2">
        <v>2025134</v>
      </c>
      <c r="H65" s="2">
        <v>12</v>
      </c>
      <c r="I65" s="2">
        <v>0</v>
      </c>
      <c r="K65" s="2">
        <v>6</v>
      </c>
      <c r="L65" s="2">
        <f t="shared" si="0"/>
        <v>12</v>
      </c>
      <c r="S65" s="14" t="s">
        <v>321</v>
      </c>
      <c r="T65" s="14">
        <v>931</v>
      </c>
    </row>
    <row r="66" spans="1:20">
      <c r="A66" s="2">
        <v>65</v>
      </c>
      <c r="B66" s="2" t="s">
        <v>325</v>
      </c>
      <c r="C66" s="2">
        <v>2025015</v>
      </c>
      <c r="D66" s="2" t="s">
        <v>406</v>
      </c>
      <c r="E66" s="2">
        <v>31</v>
      </c>
      <c r="G66" s="2">
        <v>2025137</v>
      </c>
      <c r="H66" s="2">
        <v>1476</v>
      </c>
      <c r="I66" s="2">
        <v>1194</v>
      </c>
      <c r="K66" s="2">
        <v>1335</v>
      </c>
      <c r="L66" s="2">
        <f t="shared" si="0"/>
        <v>2670</v>
      </c>
      <c r="S66" s="14" t="s">
        <v>322</v>
      </c>
      <c r="T66" s="14">
        <v>712</v>
      </c>
    </row>
    <row r="67" spans="1:20">
      <c r="A67" s="2">
        <v>66</v>
      </c>
      <c r="B67" s="2" t="s">
        <v>326</v>
      </c>
      <c r="C67" s="2">
        <v>2025015</v>
      </c>
      <c r="D67" s="2" t="s">
        <v>407</v>
      </c>
      <c r="E67" s="2">
        <v>189</v>
      </c>
      <c r="G67" s="2">
        <v>2025138</v>
      </c>
      <c r="H67" s="2">
        <v>1220</v>
      </c>
      <c r="I67" s="2">
        <v>2529</v>
      </c>
      <c r="K67" s="2">
        <v>1874.5</v>
      </c>
      <c r="L67" s="2">
        <f t="shared" si="0"/>
        <v>3749</v>
      </c>
      <c r="S67" s="14" t="s">
        <v>323</v>
      </c>
      <c r="T67" s="14">
        <v>510</v>
      </c>
    </row>
    <row r="68" spans="1:20">
      <c r="A68" s="2">
        <v>67</v>
      </c>
      <c r="B68" s="2" t="s">
        <v>327</v>
      </c>
      <c r="C68" s="2">
        <v>2025016</v>
      </c>
      <c r="D68" s="2" t="s">
        <v>406</v>
      </c>
      <c r="E68" s="2">
        <v>977</v>
      </c>
      <c r="G68" s="2">
        <v>2025140</v>
      </c>
      <c r="H68" s="2">
        <v>1415</v>
      </c>
      <c r="I68" s="2">
        <v>833</v>
      </c>
      <c r="K68" s="2">
        <v>1124</v>
      </c>
      <c r="L68" s="2">
        <f t="shared" ref="L68:L75" si="1">H68+I68</f>
        <v>2248</v>
      </c>
      <c r="S68" s="14" t="s">
        <v>324</v>
      </c>
      <c r="T68" s="14">
        <v>557</v>
      </c>
    </row>
    <row r="69" spans="1:20">
      <c r="A69" s="2">
        <v>68</v>
      </c>
      <c r="B69" s="2" t="s">
        <v>328</v>
      </c>
      <c r="C69" s="2">
        <v>2025016</v>
      </c>
      <c r="D69" s="2" t="s">
        <v>407</v>
      </c>
      <c r="E69" s="2">
        <v>401</v>
      </c>
      <c r="G69" s="2">
        <v>2025141</v>
      </c>
      <c r="H69" s="2">
        <v>1552</v>
      </c>
      <c r="I69" s="2">
        <v>561</v>
      </c>
      <c r="K69" s="2">
        <v>1056.5</v>
      </c>
      <c r="L69" s="2">
        <f t="shared" si="1"/>
        <v>2113</v>
      </c>
      <c r="S69" s="14" t="s">
        <v>325</v>
      </c>
      <c r="T69" s="14">
        <v>31</v>
      </c>
    </row>
    <row r="70" spans="1:20">
      <c r="A70" s="2">
        <v>69</v>
      </c>
      <c r="B70" s="2" t="s">
        <v>329</v>
      </c>
      <c r="C70" s="2">
        <v>2025017</v>
      </c>
      <c r="D70" s="2" t="s">
        <v>406</v>
      </c>
      <c r="E70" s="2">
        <v>994</v>
      </c>
      <c r="G70" s="2">
        <v>2025142</v>
      </c>
      <c r="H70" s="2">
        <v>2799</v>
      </c>
      <c r="I70" s="2">
        <v>1299</v>
      </c>
      <c r="K70" s="2">
        <v>2049</v>
      </c>
      <c r="L70" s="2">
        <f t="shared" si="1"/>
        <v>4098</v>
      </c>
      <c r="S70" s="14" t="s">
        <v>326</v>
      </c>
      <c r="T70" s="14">
        <v>189</v>
      </c>
    </row>
    <row r="71" spans="1:20">
      <c r="A71" s="2">
        <v>70</v>
      </c>
      <c r="B71" s="2" t="s">
        <v>330</v>
      </c>
      <c r="C71" s="2">
        <v>2025017</v>
      </c>
      <c r="D71" s="2" t="s">
        <v>407</v>
      </c>
      <c r="E71" s="2">
        <v>343</v>
      </c>
      <c r="G71" s="2">
        <v>2025148</v>
      </c>
      <c r="H71" s="2">
        <v>392</v>
      </c>
      <c r="I71" s="2">
        <v>156</v>
      </c>
      <c r="K71" s="2">
        <v>274</v>
      </c>
      <c r="L71" s="2">
        <f t="shared" si="1"/>
        <v>548</v>
      </c>
      <c r="S71" s="14" t="s">
        <v>327</v>
      </c>
      <c r="T71" s="14">
        <v>977</v>
      </c>
    </row>
    <row r="72" spans="1:20">
      <c r="A72" s="2">
        <v>71</v>
      </c>
      <c r="B72" s="2" t="s">
        <v>331</v>
      </c>
      <c r="C72" s="2">
        <v>2025018</v>
      </c>
      <c r="D72" s="2" t="s">
        <v>406</v>
      </c>
      <c r="E72" s="2">
        <v>2523</v>
      </c>
      <c r="G72" s="2">
        <v>2025149</v>
      </c>
      <c r="H72" s="2">
        <v>465</v>
      </c>
      <c r="I72" s="2">
        <v>1025</v>
      </c>
      <c r="K72" s="2">
        <v>745</v>
      </c>
      <c r="L72" s="2">
        <f t="shared" si="1"/>
        <v>1490</v>
      </c>
      <c r="S72" s="14" t="s">
        <v>328</v>
      </c>
      <c r="T72" s="14">
        <v>401</v>
      </c>
    </row>
    <row r="73" spans="1:20">
      <c r="A73" s="2">
        <v>72</v>
      </c>
      <c r="B73" s="2" t="s">
        <v>332</v>
      </c>
      <c r="C73" s="2">
        <v>2025018</v>
      </c>
      <c r="D73" s="2" t="s">
        <v>407</v>
      </c>
      <c r="E73" s="2">
        <v>1219</v>
      </c>
      <c r="G73" s="2">
        <v>2025150</v>
      </c>
      <c r="H73" s="2">
        <v>931</v>
      </c>
      <c r="I73" s="2">
        <v>712</v>
      </c>
      <c r="K73" s="2">
        <v>821.5</v>
      </c>
      <c r="L73" s="2">
        <f t="shared" si="1"/>
        <v>1643</v>
      </c>
      <c r="S73" s="14" t="s">
        <v>329</v>
      </c>
      <c r="T73" s="14">
        <v>994</v>
      </c>
    </row>
    <row r="74" spans="1:20">
      <c r="A74" s="2">
        <v>73</v>
      </c>
      <c r="B74" s="2" t="s">
        <v>333</v>
      </c>
      <c r="C74" s="2">
        <v>2025019</v>
      </c>
      <c r="D74" s="2" t="s">
        <v>406</v>
      </c>
      <c r="E74" s="2">
        <v>2695</v>
      </c>
      <c r="G74" s="2">
        <v>2025151</v>
      </c>
      <c r="H74" s="2">
        <v>510</v>
      </c>
      <c r="I74" s="2">
        <v>557</v>
      </c>
      <c r="K74" s="2">
        <v>533.5</v>
      </c>
      <c r="L74" s="2">
        <f t="shared" si="1"/>
        <v>1067</v>
      </c>
      <c r="S74" s="14" t="s">
        <v>330</v>
      </c>
      <c r="T74" s="14">
        <v>343</v>
      </c>
    </row>
    <row r="75" spans="1:20">
      <c r="A75" s="2">
        <v>74</v>
      </c>
      <c r="B75" s="2" t="s">
        <v>334</v>
      </c>
      <c r="C75" s="2">
        <v>2025019</v>
      </c>
      <c r="D75" s="2" t="s">
        <v>407</v>
      </c>
      <c r="E75" s="2">
        <v>1160</v>
      </c>
      <c r="G75" s="2" t="s">
        <v>409</v>
      </c>
      <c r="L75" s="2">
        <f t="shared" si="1"/>
        <v>0</v>
      </c>
      <c r="S75" s="14" t="s">
        <v>331</v>
      </c>
      <c r="T75" s="14">
        <v>2523</v>
      </c>
    </row>
    <row r="76" spans="1:20">
      <c r="A76" s="2">
        <v>75</v>
      </c>
      <c r="B76" s="2" t="s">
        <v>335</v>
      </c>
      <c r="C76" s="2">
        <v>2025021</v>
      </c>
      <c r="D76" s="2" t="s">
        <v>406</v>
      </c>
      <c r="E76" s="2">
        <v>933</v>
      </c>
      <c r="G76" s="2">
        <v>2025032</v>
      </c>
      <c r="H76" s="2">
        <v>0</v>
      </c>
      <c r="I76" s="2">
        <v>0</v>
      </c>
      <c r="K76" s="2">
        <v>0</v>
      </c>
      <c r="S76" s="14" t="s">
        <v>332</v>
      </c>
      <c r="T76" s="14">
        <v>1219</v>
      </c>
    </row>
    <row r="77" spans="1:20">
      <c r="A77" s="2">
        <v>76</v>
      </c>
      <c r="B77" s="2" t="s">
        <v>336</v>
      </c>
      <c r="C77" s="2">
        <v>2025021</v>
      </c>
      <c r="D77" s="2" t="s">
        <v>407</v>
      </c>
      <c r="E77" s="2">
        <v>750</v>
      </c>
      <c r="G77" s="2">
        <v>2025033</v>
      </c>
      <c r="H77" s="2">
        <v>0</v>
      </c>
      <c r="I77" s="2">
        <v>0</v>
      </c>
      <c r="K77" s="2">
        <v>0</v>
      </c>
      <c r="S77" s="14" t="s">
        <v>333</v>
      </c>
      <c r="T77" s="14">
        <v>2695</v>
      </c>
    </row>
    <row r="78" spans="1:20">
      <c r="A78" s="2">
        <v>77</v>
      </c>
      <c r="B78" s="2" t="s">
        <v>337</v>
      </c>
      <c r="C78" s="2">
        <v>2025022</v>
      </c>
      <c r="D78" s="2" t="s">
        <v>406</v>
      </c>
      <c r="E78" s="2">
        <v>85</v>
      </c>
      <c r="G78" s="2">
        <v>2025001</v>
      </c>
      <c r="H78" s="2">
        <v>0</v>
      </c>
      <c r="I78" s="2">
        <v>0</v>
      </c>
      <c r="K78" s="2">
        <v>0</v>
      </c>
      <c r="S78" s="14" t="s">
        <v>334</v>
      </c>
      <c r="T78" s="14">
        <v>1160</v>
      </c>
    </row>
    <row r="79" spans="1:20">
      <c r="A79" s="2">
        <v>78</v>
      </c>
      <c r="B79" s="2" t="s">
        <v>338</v>
      </c>
      <c r="C79" s="2">
        <v>2025022</v>
      </c>
      <c r="D79" s="2" t="s">
        <v>407</v>
      </c>
      <c r="E79" s="2">
        <v>719</v>
      </c>
      <c r="G79" s="2">
        <v>2025002</v>
      </c>
      <c r="H79" s="2">
        <v>0</v>
      </c>
      <c r="I79" s="2">
        <v>0</v>
      </c>
      <c r="K79" s="2">
        <v>0</v>
      </c>
      <c r="S79" s="14" t="s">
        <v>335</v>
      </c>
      <c r="T79" s="14">
        <v>933</v>
      </c>
    </row>
    <row r="80" spans="1:20">
      <c r="A80" s="2">
        <v>79</v>
      </c>
      <c r="B80" s="2" t="s">
        <v>339</v>
      </c>
      <c r="C80" s="2">
        <v>2025023</v>
      </c>
      <c r="D80" s="2" t="s">
        <v>406</v>
      </c>
      <c r="E80" s="2">
        <v>2790</v>
      </c>
      <c r="G80" s="2">
        <v>2025020</v>
      </c>
      <c r="H80" s="2">
        <v>0</v>
      </c>
      <c r="I80" s="2">
        <v>0</v>
      </c>
      <c r="K80" s="2">
        <v>0</v>
      </c>
      <c r="S80" s="14" t="s">
        <v>336</v>
      </c>
      <c r="T80" s="14">
        <v>750</v>
      </c>
    </row>
    <row r="81" spans="1:20">
      <c r="A81" s="2">
        <v>80</v>
      </c>
      <c r="B81" s="2" t="s">
        <v>340</v>
      </c>
      <c r="C81" s="2">
        <v>2025023</v>
      </c>
      <c r="D81" s="2" t="s">
        <v>407</v>
      </c>
      <c r="E81" s="2">
        <v>888</v>
      </c>
      <c r="G81" s="2">
        <v>2025039</v>
      </c>
      <c r="H81" s="2">
        <v>0</v>
      </c>
      <c r="I81" s="2">
        <v>0</v>
      </c>
      <c r="K81" s="2">
        <v>0</v>
      </c>
      <c r="S81" s="14" t="s">
        <v>337</v>
      </c>
      <c r="T81" s="14">
        <v>85</v>
      </c>
    </row>
    <row r="82" spans="1:20">
      <c r="A82" s="2">
        <v>81</v>
      </c>
      <c r="B82" s="2" t="s">
        <v>341</v>
      </c>
      <c r="C82" s="2">
        <v>2025024</v>
      </c>
      <c r="D82" s="2" t="s">
        <v>406</v>
      </c>
      <c r="E82" s="2">
        <v>2113</v>
      </c>
      <c r="G82" s="2" t="s">
        <v>410</v>
      </c>
      <c r="H82" s="2">
        <v>1209.2307692307693</v>
      </c>
      <c r="I82" s="2">
        <v>744.80769230769226</v>
      </c>
      <c r="K82" s="2">
        <v>977.01923076923072</v>
      </c>
      <c r="S82" s="14" t="s">
        <v>338</v>
      </c>
      <c r="T82" s="14">
        <v>719</v>
      </c>
    </row>
    <row r="83" spans="1:20">
      <c r="A83" s="2">
        <v>82</v>
      </c>
      <c r="B83" s="2" t="s">
        <v>342</v>
      </c>
      <c r="C83" s="2">
        <v>2025024</v>
      </c>
      <c r="D83" s="2" t="s">
        <v>407</v>
      </c>
      <c r="E83" s="2">
        <v>675</v>
      </c>
      <c r="S83" s="14" t="s">
        <v>339</v>
      </c>
      <c r="T83" s="14">
        <v>2790</v>
      </c>
    </row>
    <row r="84" spans="1:20">
      <c r="A84" s="2">
        <v>83</v>
      </c>
      <c r="B84" s="2" t="s">
        <v>343</v>
      </c>
      <c r="C84" s="2">
        <v>2025025</v>
      </c>
      <c r="D84" s="2" t="s">
        <v>406</v>
      </c>
      <c r="E84" s="2">
        <v>2237</v>
      </c>
      <c r="S84" s="14" t="s">
        <v>340</v>
      </c>
      <c r="T84" s="14">
        <v>888</v>
      </c>
    </row>
    <row r="85" spans="1:20">
      <c r="A85" s="2">
        <v>84</v>
      </c>
      <c r="B85" s="2" t="s">
        <v>344</v>
      </c>
      <c r="C85" s="2">
        <v>2025025</v>
      </c>
      <c r="D85" s="2" t="s">
        <v>407</v>
      </c>
      <c r="E85" s="2">
        <v>951</v>
      </c>
      <c r="S85" s="14" t="s">
        <v>341</v>
      </c>
      <c r="T85" s="14">
        <v>2113</v>
      </c>
    </row>
    <row r="86" spans="1:20">
      <c r="A86" s="2">
        <v>85</v>
      </c>
      <c r="B86" s="2" t="s">
        <v>345</v>
      </c>
      <c r="C86" s="2">
        <v>2025026</v>
      </c>
      <c r="D86" s="2" t="s">
        <v>406</v>
      </c>
      <c r="E86" s="2">
        <v>0</v>
      </c>
      <c r="S86" s="14" t="s">
        <v>342</v>
      </c>
      <c r="T86" s="14">
        <v>675</v>
      </c>
    </row>
    <row r="87" spans="1:20">
      <c r="A87" s="2">
        <v>86</v>
      </c>
      <c r="B87" s="2" t="s">
        <v>346</v>
      </c>
      <c r="C87" s="2">
        <v>2025026</v>
      </c>
      <c r="D87" s="2" t="s">
        <v>407</v>
      </c>
      <c r="E87" s="2">
        <v>0</v>
      </c>
      <c r="S87" s="14" t="s">
        <v>343</v>
      </c>
      <c r="T87" s="14">
        <v>2237</v>
      </c>
    </row>
    <row r="88" spans="1:20">
      <c r="A88" s="2">
        <v>87</v>
      </c>
      <c r="B88" s="2" t="s">
        <v>347</v>
      </c>
      <c r="C88" s="2">
        <v>2025027</v>
      </c>
      <c r="D88" s="2" t="s">
        <v>406</v>
      </c>
      <c r="E88" s="2">
        <v>39</v>
      </c>
      <c r="S88" s="14" t="s">
        <v>344</v>
      </c>
      <c r="T88" s="14">
        <v>951</v>
      </c>
    </row>
    <row r="89" spans="1:20">
      <c r="A89" s="2">
        <v>88</v>
      </c>
      <c r="B89" s="2" t="s">
        <v>348</v>
      </c>
      <c r="C89" s="2">
        <v>2025027</v>
      </c>
      <c r="D89" s="2" t="s">
        <v>407</v>
      </c>
      <c r="E89" s="2">
        <v>161</v>
      </c>
      <c r="S89" s="14" t="s">
        <v>345</v>
      </c>
      <c r="T89" s="14" t="s">
        <v>277</v>
      </c>
    </row>
    <row r="90" spans="1:20">
      <c r="A90" s="2">
        <v>89</v>
      </c>
      <c r="B90" s="2" t="s">
        <v>349</v>
      </c>
      <c r="C90" s="2">
        <v>2025028</v>
      </c>
      <c r="D90" s="2" t="s">
        <v>406</v>
      </c>
      <c r="E90" s="2">
        <v>2715</v>
      </c>
      <c r="S90" s="14" t="s">
        <v>346</v>
      </c>
      <c r="T90" s="14" t="s">
        <v>277</v>
      </c>
    </row>
    <row r="91" spans="1:20">
      <c r="A91" s="2">
        <v>90</v>
      </c>
      <c r="B91" s="2" t="s">
        <v>350</v>
      </c>
      <c r="C91" s="2">
        <v>2025028</v>
      </c>
      <c r="D91" s="2" t="s">
        <v>407</v>
      </c>
      <c r="E91" s="2">
        <v>1696</v>
      </c>
      <c r="S91" s="14" t="s">
        <v>347</v>
      </c>
      <c r="T91" s="14">
        <v>39</v>
      </c>
    </row>
    <row r="92" spans="1:20">
      <c r="A92" s="2">
        <v>91</v>
      </c>
      <c r="B92" s="2" t="s">
        <v>351</v>
      </c>
      <c r="C92" s="2">
        <v>2025029</v>
      </c>
      <c r="D92" s="2" t="s">
        <v>406</v>
      </c>
      <c r="E92" s="2">
        <v>1294</v>
      </c>
      <c r="S92" s="14" t="s">
        <v>348</v>
      </c>
      <c r="T92" s="14">
        <v>161</v>
      </c>
    </row>
    <row r="93" spans="1:20">
      <c r="A93" s="2">
        <v>92</v>
      </c>
      <c r="B93" s="2" t="s">
        <v>352</v>
      </c>
      <c r="C93" s="2">
        <v>2025029</v>
      </c>
      <c r="D93" s="2" t="s">
        <v>407</v>
      </c>
      <c r="E93" s="2">
        <v>454</v>
      </c>
      <c r="S93" s="14" t="s">
        <v>349</v>
      </c>
      <c r="T93" s="14">
        <v>2715</v>
      </c>
    </row>
    <row r="94" spans="1:20">
      <c r="A94" s="2">
        <v>93</v>
      </c>
      <c r="B94" s="2" t="s">
        <v>353</v>
      </c>
      <c r="C94" s="2">
        <v>2025030</v>
      </c>
      <c r="D94" s="2" t="s">
        <v>406</v>
      </c>
      <c r="E94" s="2">
        <v>228</v>
      </c>
      <c r="S94" s="14" t="s">
        <v>350</v>
      </c>
      <c r="T94" s="14">
        <v>1696</v>
      </c>
    </row>
    <row r="95" spans="1:20">
      <c r="A95" s="2">
        <v>94</v>
      </c>
      <c r="B95" s="2" t="s">
        <v>354</v>
      </c>
      <c r="C95" s="2">
        <v>2025030</v>
      </c>
      <c r="D95" s="2" t="s">
        <v>407</v>
      </c>
      <c r="E95" s="2">
        <v>191</v>
      </c>
      <c r="S95" s="14" t="s">
        <v>351</v>
      </c>
      <c r="T95" s="14">
        <v>1294</v>
      </c>
    </row>
    <row r="96" spans="1:20">
      <c r="A96" s="2">
        <v>95</v>
      </c>
      <c r="B96" s="2" t="s">
        <v>355</v>
      </c>
      <c r="C96" s="2">
        <v>2025031</v>
      </c>
      <c r="D96" s="2" t="s">
        <v>406</v>
      </c>
      <c r="E96" s="2">
        <v>0</v>
      </c>
      <c r="S96" s="14" t="s">
        <v>352</v>
      </c>
      <c r="T96" s="14">
        <v>454</v>
      </c>
    </row>
    <row r="97" spans="1:20">
      <c r="A97" s="2">
        <v>96</v>
      </c>
      <c r="B97" s="2" t="s">
        <v>356</v>
      </c>
      <c r="C97" s="2">
        <v>2025031</v>
      </c>
      <c r="D97" s="2" t="s">
        <v>407</v>
      </c>
      <c r="E97" s="2">
        <v>0</v>
      </c>
      <c r="S97" s="14" t="s">
        <v>353</v>
      </c>
      <c r="T97" s="14">
        <v>228</v>
      </c>
    </row>
    <row r="98" spans="1:20">
      <c r="A98" s="2">
        <v>97</v>
      </c>
      <c r="B98" s="2" t="s">
        <v>357</v>
      </c>
      <c r="C98" s="2">
        <v>2025034</v>
      </c>
      <c r="D98" s="2" t="s">
        <v>406</v>
      </c>
      <c r="E98" s="2">
        <v>0</v>
      </c>
      <c r="S98" s="14" t="s">
        <v>354</v>
      </c>
      <c r="T98" s="14">
        <v>191</v>
      </c>
    </row>
    <row r="99" spans="1:20">
      <c r="A99" s="2">
        <v>98</v>
      </c>
      <c r="B99" s="2" t="s">
        <v>358</v>
      </c>
      <c r="C99" s="2">
        <v>2025034</v>
      </c>
      <c r="D99" s="2" t="s">
        <v>407</v>
      </c>
      <c r="E99" s="2">
        <v>0</v>
      </c>
      <c r="S99" s="14" t="s">
        <v>355</v>
      </c>
      <c r="T99" s="14" t="s">
        <v>277</v>
      </c>
    </row>
    <row r="100" spans="1:20">
      <c r="A100" s="2">
        <v>99</v>
      </c>
      <c r="B100" s="2" t="s">
        <v>359</v>
      </c>
      <c r="C100" s="2">
        <v>2025035</v>
      </c>
      <c r="D100" s="2" t="s">
        <v>406</v>
      </c>
      <c r="E100" s="2">
        <v>209</v>
      </c>
      <c r="S100" s="14" t="s">
        <v>356</v>
      </c>
      <c r="T100" s="14" t="s">
        <v>277</v>
      </c>
    </row>
    <row r="101" spans="1:20">
      <c r="A101" s="2">
        <v>100</v>
      </c>
      <c r="B101" s="2" t="s">
        <v>360</v>
      </c>
      <c r="C101" s="2">
        <v>2025035</v>
      </c>
      <c r="D101" s="2" t="s">
        <v>407</v>
      </c>
      <c r="E101" s="2">
        <v>248</v>
      </c>
      <c r="S101" s="14" t="s">
        <v>357</v>
      </c>
      <c r="T101" s="14" t="s">
        <v>277</v>
      </c>
    </row>
    <row r="102" spans="1:20">
      <c r="A102" s="2">
        <v>101</v>
      </c>
      <c r="B102" s="2" t="s">
        <v>361</v>
      </c>
      <c r="C102" s="2">
        <v>2025036</v>
      </c>
      <c r="D102" s="2" t="s">
        <v>406</v>
      </c>
      <c r="E102" s="2">
        <v>645</v>
      </c>
      <c r="S102" s="14" t="s">
        <v>358</v>
      </c>
      <c r="T102" s="14" t="s">
        <v>277</v>
      </c>
    </row>
    <row r="103" spans="1:20">
      <c r="A103" s="2">
        <v>102</v>
      </c>
      <c r="B103" s="2" t="s">
        <v>362</v>
      </c>
      <c r="C103" s="2">
        <v>2025036</v>
      </c>
      <c r="D103" s="2" t="s">
        <v>407</v>
      </c>
      <c r="E103" s="2">
        <v>607</v>
      </c>
      <c r="S103" s="14" t="s">
        <v>359</v>
      </c>
      <c r="T103" s="14">
        <v>209</v>
      </c>
    </row>
    <row r="104" spans="1:20">
      <c r="A104" s="2">
        <v>103</v>
      </c>
      <c r="B104" s="2" t="s">
        <v>363</v>
      </c>
      <c r="C104" s="2">
        <v>2025037</v>
      </c>
      <c r="D104" s="2" t="s">
        <v>406</v>
      </c>
      <c r="E104" s="2">
        <v>1871</v>
      </c>
      <c r="S104" s="14" t="s">
        <v>360</v>
      </c>
      <c r="T104" s="14">
        <v>248</v>
      </c>
    </row>
    <row r="105" spans="1:20">
      <c r="A105" s="2">
        <v>104</v>
      </c>
      <c r="B105" s="2" t="s">
        <v>364</v>
      </c>
      <c r="C105" s="2">
        <v>2025037</v>
      </c>
      <c r="D105" s="2" t="s">
        <v>407</v>
      </c>
      <c r="E105" s="2">
        <v>1585</v>
      </c>
      <c r="S105" s="14" t="s">
        <v>361</v>
      </c>
      <c r="T105" s="14">
        <v>645</v>
      </c>
    </row>
    <row r="106" spans="1:20">
      <c r="A106" s="2">
        <v>105</v>
      </c>
      <c r="B106" s="2" t="s">
        <v>365</v>
      </c>
      <c r="C106" s="2">
        <v>2025038</v>
      </c>
      <c r="D106" s="2" t="s">
        <v>406</v>
      </c>
      <c r="E106" s="2">
        <v>1642</v>
      </c>
      <c r="S106" s="14" t="s">
        <v>362</v>
      </c>
      <c r="T106" s="14">
        <v>607</v>
      </c>
    </row>
    <row r="107" spans="1:20">
      <c r="A107" s="2">
        <v>106</v>
      </c>
      <c r="B107" s="2" t="s">
        <v>366</v>
      </c>
      <c r="C107" s="2">
        <v>2025038</v>
      </c>
      <c r="D107" s="2" t="s">
        <v>407</v>
      </c>
      <c r="E107" s="2">
        <v>1381</v>
      </c>
      <c r="S107" s="14" t="s">
        <v>363</v>
      </c>
      <c r="T107" s="14">
        <v>1871</v>
      </c>
    </row>
    <row r="108" spans="1:20">
      <c r="A108" s="2">
        <v>107</v>
      </c>
      <c r="B108" s="2" t="s">
        <v>367</v>
      </c>
      <c r="C108" s="2">
        <v>2025003</v>
      </c>
      <c r="D108" s="2" t="s">
        <v>406</v>
      </c>
      <c r="E108" s="2">
        <v>315</v>
      </c>
      <c r="S108" s="14" t="s">
        <v>364</v>
      </c>
      <c r="T108" s="14">
        <v>1585</v>
      </c>
    </row>
    <row r="109" spans="1:20">
      <c r="A109" s="2">
        <v>108</v>
      </c>
      <c r="B109" s="2" t="s">
        <v>368</v>
      </c>
      <c r="C109" s="2">
        <v>2025003</v>
      </c>
      <c r="D109" s="2" t="s">
        <v>407</v>
      </c>
      <c r="E109" s="2">
        <v>250</v>
      </c>
      <c r="S109" s="14" t="s">
        <v>365</v>
      </c>
      <c r="T109" s="14">
        <v>1642</v>
      </c>
    </row>
    <row r="110" spans="1:20">
      <c r="A110" s="2">
        <v>109</v>
      </c>
      <c r="B110" s="2" t="s">
        <v>369</v>
      </c>
      <c r="C110" s="2">
        <v>2025040</v>
      </c>
      <c r="D110" s="2" t="s">
        <v>406</v>
      </c>
      <c r="E110" s="2">
        <v>0</v>
      </c>
      <c r="S110" s="14" t="s">
        <v>366</v>
      </c>
      <c r="T110" s="14">
        <v>1381</v>
      </c>
    </row>
    <row r="111" spans="1:20">
      <c r="A111" s="2">
        <v>110</v>
      </c>
      <c r="B111" s="2" t="s">
        <v>370</v>
      </c>
      <c r="C111" s="2">
        <v>2025040</v>
      </c>
      <c r="D111" s="2" t="s">
        <v>407</v>
      </c>
      <c r="E111" s="2">
        <v>0</v>
      </c>
      <c r="S111" s="14" t="s">
        <v>367</v>
      </c>
      <c r="T111" s="14">
        <v>315</v>
      </c>
    </row>
    <row r="112" spans="1:20">
      <c r="A112" s="2">
        <v>111</v>
      </c>
      <c r="B112" s="2" t="s">
        <v>371</v>
      </c>
      <c r="C112" s="2">
        <v>2025004</v>
      </c>
      <c r="D112" s="2" t="s">
        <v>406</v>
      </c>
      <c r="E112" s="2">
        <v>42</v>
      </c>
      <c r="S112" s="14" t="s">
        <v>368</v>
      </c>
      <c r="T112" s="14">
        <v>250</v>
      </c>
    </row>
    <row r="113" spans="1:20">
      <c r="A113" s="2">
        <v>112</v>
      </c>
      <c r="B113" s="2" t="s">
        <v>372</v>
      </c>
      <c r="C113" s="2">
        <v>2025004</v>
      </c>
      <c r="D113" s="2" t="s">
        <v>407</v>
      </c>
      <c r="E113" s="2">
        <v>141</v>
      </c>
      <c r="S113" s="14" t="s">
        <v>369</v>
      </c>
      <c r="T113" s="14" t="s">
        <v>277</v>
      </c>
    </row>
    <row r="114" spans="1:20">
      <c r="A114" s="2">
        <v>113</v>
      </c>
      <c r="B114" s="2" t="s">
        <v>373</v>
      </c>
      <c r="C114" s="2">
        <v>2025005</v>
      </c>
      <c r="D114" s="2" t="s">
        <v>406</v>
      </c>
      <c r="E114" s="2">
        <v>2222</v>
      </c>
      <c r="S114" s="14" t="s">
        <v>370</v>
      </c>
      <c r="T114" s="14" t="s">
        <v>277</v>
      </c>
    </row>
    <row r="115" spans="1:20">
      <c r="A115" s="2">
        <v>114</v>
      </c>
      <c r="B115" s="2" t="s">
        <v>374</v>
      </c>
      <c r="C115" s="2">
        <v>2025005</v>
      </c>
      <c r="D115" s="2" t="s">
        <v>407</v>
      </c>
      <c r="E115" s="2">
        <v>939</v>
      </c>
      <c r="S115" s="14" t="s">
        <v>371</v>
      </c>
      <c r="T115" s="14">
        <v>42</v>
      </c>
    </row>
    <row r="116" spans="1:20">
      <c r="A116" s="2">
        <v>115</v>
      </c>
      <c r="B116" s="2" t="s">
        <v>375</v>
      </c>
      <c r="C116" s="2">
        <v>2025006</v>
      </c>
      <c r="D116" s="2" t="s">
        <v>406</v>
      </c>
      <c r="E116" s="2">
        <v>17</v>
      </c>
      <c r="S116" s="14" t="s">
        <v>372</v>
      </c>
      <c r="T116" s="14">
        <v>141</v>
      </c>
    </row>
    <row r="117" spans="1:20">
      <c r="A117" s="2">
        <v>116</v>
      </c>
      <c r="B117" s="2" t="s">
        <v>376</v>
      </c>
      <c r="C117" s="2">
        <v>2025006</v>
      </c>
      <c r="D117" s="2" t="s">
        <v>407</v>
      </c>
      <c r="E117" s="2">
        <v>0</v>
      </c>
      <c r="S117" s="14" t="s">
        <v>373</v>
      </c>
      <c r="T117" s="14">
        <v>2222</v>
      </c>
    </row>
    <row r="118" spans="1:20">
      <c r="A118" s="2">
        <v>117</v>
      </c>
      <c r="B118" s="2" t="s">
        <v>377</v>
      </c>
      <c r="C118" s="2">
        <v>2025007</v>
      </c>
      <c r="D118" s="2" t="s">
        <v>406</v>
      </c>
      <c r="E118" s="2">
        <v>0</v>
      </c>
      <c r="S118" s="14" t="s">
        <v>374</v>
      </c>
      <c r="T118" s="14">
        <v>939</v>
      </c>
    </row>
    <row r="119" spans="1:20">
      <c r="A119" s="2">
        <v>118</v>
      </c>
      <c r="B119" s="2" t="s">
        <v>378</v>
      </c>
      <c r="C119" s="2">
        <v>2025007</v>
      </c>
      <c r="D119" s="2" t="s">
        <v>407</v>
      </c>
      <c r="E119" s="2">
        <v>0</v>
      </c>
      <c r="S119" s="14" t="s">
        <v>375</v>
      </c>
      <c r="T119" s="14">
        <v>17</v>
      </c>
    </row>
    <row r="120" spans="1:20">
      <c r="A120" s="2">
        <v>119</v>
      </c>
      <c r="B120" s="2" t="s">
        <v>379</v>
      </c>
      <c r="C120" s="2">
        <v>2025081</v>
      </c>
      <c r="D120" s="2" t="s">
        <v>406</v>
      </c>
      <c r="E120" s="2">
        <v>2745</v>
      </c>
      <c r="S120" s="14" t="s">
        <v>376</v>
      </c>
      <c r="T120" s="14" t="s">
        <v>277</v>
      </c>
    </row>
    <row r="121" spans="1:20">
      <c r="A121" s="2">
        <v>120</v>
      </c>
      <c r="B121" s="2" t="s">
        <v>380</v>
      </c>
      <c r="C121" s="2">
        <v>2025081</v>
      </c>
      <c r="D121" s="2" t="s">
        <v>407</v>
      </c>
      <c r="E121" s="2">
        <v>1244</v>
      </c>
      <c r="S121" s="14" t="s">
        <v>377</v>
      </c>
      <c r="T121" s="14" t="s">
        <v>277</v>
      </c>
    </row>
    <row r="122" spans="1:20">
      <c r="A122" s="2">
        <v>121</v>
      </c>
      <c r="B122" s="2" t="s">
        <v>381</v>
      </c>
      <c r="C122" s="2">
        <v>2025082</v>
      </c>
      <c r="D122" s="2" t="s">
        <v>406</v>
      </c>
      <c r="E122" s="2">
        <v>400</v>
      </c>
      <c r="S122" s="14" t="s">
        <v>378</v>
      </c>
      <c r="T122" s="14" t="s">
        <v>277</v>
      </c>
    </row>
    <row r="123" spans="1:20">
      <c r="A123" s="2">
        <v>122</v>
      </c>
      <c r="B123" s="2" t="s">
        <v>382</v>
      </c>
      <c r="C123" s="2">
        <v>2025082</v>
      </c>
      <c r="D123" s="2" t="s">
        <v>407</v>
      </c>
      <c r="E123" s="2">
        <v>338</v>
      </c>
      <c r="S123" s="14" t="s">
        <v>379</v>
      </c>
      <c r="T123" s="14">
        <v>2745</v>
      </c>
    </row>
    <row r="124" spans="1:20">
      <c r="A124" s="2">
        <v>123</v>
      </c>
      <c r="B124" s="2" t="s">
        <v>383</v>
      </c>
      <c r="C124" s="2">
        <v>2025084</v>
      </c>
      <c r="D124" s="2" t="s">
        <v>406</v>
      </c>
      <c r="E124" s="2">
        <v>1514</v>
      </c>
      <c r="S124" s="14" t="s">
        <v>380</v>
      </c>
      <c r="T124" s="14">
        <v>1244</v>
      </c>
    </row>
    <row r="125" spans="1:20">
      <c r="A125" s="2">
        <v>124</v>
      </c>
      <c r="B125" s="2" t="s">
        <v>384</v>
      </c>
      <c r="C125" s="2">
        <v>2025084</v>
      </c>
      <c r="D125" s="2" t="s">
        <v>407</v>
      </c>
      <c r="E125" s="2">
        <v>556</v>
      </c>
      <c r="S125" s="14" t="s">
        <v>381</v>
      </c>
      <c r="T125" s="14">
        <v>400</v>
      </c>
    </row>
    <row r="126" spans="1:20">
      <c r="A126" s="2">
        <v>125</v>
      </c>
      <c r="B126" s="2" t="s">
        <v>385</v>
      </c>
      <c r="C126" s="2">
        <v>2025085</v>
      </c>
      <c r="D126" s="2" t="s">
        <v>406</v>
      </c>
      <c r="E126" s="2">
        <v>2566</v>
      </c>
      <c r="S126" s="14" t="s">
        <v>382</v>
      </c>
      <c r="T126" s="14">
        <v>338</v>
      </c>
    </row>
    <row r="127" spans="1:20">
      <c r="A127" s="2">
        <v>126</v>
      </c>
      <c r="B127" s="2" t="s">
        <v>386</v>
      </c>
      <c r="C127" s="2">
        <v>2025085</v>
      </c>
      <c r="D127" s="2" t="s">
        <v>407</v>
      </c>
      <c r="E127" s="2">
        <v>1512</v>
      </c>
      <c r="S127" s="14" t="s">
        <v>383</v>
      </c>
      <c r="T127" s="14">
        <v>1514</v>
      </c>
    </row>
    <row r="128" spans="1:20">
      <c r="A128" s="2">
        <v>127</v>
      </c>
      <c r="B128" s="2" t="s">
        <v>387</v>
      </c>
      <c r="C128" s="2">
        <v>2025086</v>
      </c>
      <c r="D128" s="2" t="s">
        <v>406</v>
      </c>
      <c r="E128" s="2">
        <v>3538</v>
      </c>
      <c r="S128" s="14" t="s">
        <v>384</v>
      </c>
      <c r="T128" s="14">
        <v>556</v>
      </c>
    </row>
    <row r="129" spans="1:20">
      <c r="A129" s="2">
        <v>128</v>
      </c>
      <c r="B129" s="2" t="s">
        <v>388</v>
      </c>
      <c r="C129" s="2">
        <v>2025086</v>
      </c>
      <c r="D129" s="2" t="s">
        <v>407</v>
      </c>
      <c r="E129" s="2">
        <v>2263</v>
      </c>
      <c r="S129" s="14" t="s">
        <v>385</v>
      </c>
      <c r="T129" s="14">
        <v>2566</v>
      </c>
    </row>
    <row r="130" spans="1:20">
      <c r="A130" s="2">
        <v>129</v>
      </c>
      <c r="B130" s="2" t="s">
        <v>389</v>
      </c>
      <c r="C130" s="2">
        <v>2025087</v>
      </c>
      <c r="D130" s="2" t="s">
        <v>406</v>
      </c>
      <c r="E130" s="2">
        <v>1780</v>
      </c>
      <c r="S130" s="14" t="s">
        <v>386</v>
      </c>
      <c r="T130" s="14">
        <v>1512</v>
      </c>
    </row>
    <row r="131" spans="1:20">
      <c r="A131" s="2">
        <v>130</v>
      </c>
      <c r="B131" s="2" t="s">
        <v>390</v>
      </c>
      <c r="C131" s="2">
        <v>2025087</v>
      </c>
      <c r="D131" s="2" t="s">
        <v>407</v>
      </c>
      <c r="E131" s="2">
        <v>1728</v>
      </c>
      <c r="S131" s="14" t="s">
        <v>387</v>
      </c>
      <c r="T131" s="14">
        <v>3538</v>
      </c>
    </row>
    <row r="132" spans="1:20">
      <c r="A132" s="2">
        <v>131</v>
      </c>
      <c r="B132" s="2" t="s">
        <v>391</v>
      </c>
      <c r="C132" s="2">
        <v>2025088</v>
      </c>
      <c r="D132" s="2" t="s">
        <v>406</v>
      </c>
      <c r="E132" s="2">
        <v>3113</v>
      </c>
      <c r="S132" s="14" t="s">
        <v>388</v>
      </c>
      <c r="T132" s="14">
        <v>2263</v>
      </c>
    </row>
    <row r="133" spans="1:20">
      <c r="A133" s="2">
        <v>132</v>
      </c>
      <c r="B133" s="2" t="s">
        <v>392</v>
      </c>
      <c r="C133" s="2">
        <v>2025088</v>
      </c>
      <c r="D133" s="2" t="s">
        <v>407</v>
      </c>
      <c r="E133" s="2">
        <v>899</v>
      </c>
      <c r="S133" s="14" t="s">
        <v>389</v>
      </c>
      <c r="T133" s="14">
        <v>1780</v>
      </c>
    </row>
    <row r="134" spans="1:20">
      <c r="A134" s="2">
        <v>133</v>
      </c>
      <c r="B134" s="2" t="s">
        <v>393</v>
      </c>
      <c r="C134" s="2">
        <v>2025089</v>
      </c>
      <c r="D134" s="2" t="s">
        <v>406</v>
      </c>
      <c r="E134" s="2">
        <v>857</v>
      </c>
      <c r="S134" s="14" t="s">
        <v>390</v>
      </c>
      <c r="T134" s="14">
        <v>1728</v>
      </c>
    </row>
    <row r="135" spans="1:20">
      <c r="A135" s="2">
        <v>134</v>
      </c>
      <c r="B135" s="2" t="s">
        <v>394</v>
      </c>
      <c r="C135" s="2">
        <v>2025089</v>
      </c>
      <c r="D135" s="2" t="s">
        <v>407</v>
      </c>
      <c r="E135" s="2">
        <v>705</v>
      </c>
      <c r="S135" s="14" t="s">
        <v>391</v>
      </c>
      <c r="T135" s="14">
        <v>3113</v>
      </c>
    </row>
    <row r="136" spans="1:20">
      <c r="A136" s="2">
        <v>135</v>
      </c>
      <c r="B136" s="2" t="s">
        <v>395</v>
      </c>
      <c r="C136" s="2">
        <v>2025008</v>
      </c>
      <c r="D136" s="2" t="s">
        <v>406</v>
      </c>
      <c r="E136" s="2">
        <v>2418</v>
      </c>
      <c r="S136" s="14" t="s">
        <v>392</v>
      </c>
      <c r="T136" s="14">
        <v>899</v>
      </c>
    </row>
    <row r="137" spans="1:20">
      <c r="A137" s="2">
        <v>136</v>
      </c>
      <c r="B137" s="2" t="s">
        <v>396</v>
      </c>
      <c r="C137" s="2">
        <v>2025008</v>
      </c>
      <c r="D137" s="2" t="s">
        <v>407</v>
      </c>
      <c r="E137" s="2">
        <v>1706</v>
      </c>
      <c r="S137" s="14" t="s">
        <v>393</v>
      </c>
      <c r="T137" s="14">
        <v>857</v>
      </c>
    </row>
    <row r="138" spans="1:20">
      <c r="A138" s="2">
        <v>137</v>
      </c>
      <c r="B138" s="2" t="s">
        <v>397</v>
      </c>
      <c r="C138" s="2">
        <v>2025091</v>
      </c>
      <c r="D138" s="2" t="s">
        <v>406</v>
      </c>
      <c r="E138" s="2">
        <v>1230</v>
      </c>
      <c r="S138" s="14" t="s">
        <v>394</v>
      </c>
      <c r="T138" s="14">
        <v>705</v>
      </c>
    </row>
    <row r="139" spans="1:20">
      <c r="A139" s="2">
        <v>138</v>
      </c>
      <c r="B139" s="2" t="s">
        <v>398</v>
      </c>
      <c r="C139" s="2">
        <v>2025091</v>
      </c>
      <c r="D139" s="2" t="s">
        <v>407</v>
      </c>
      <c r="E139" s="2">
        <v>990</v>
      </c>
      <c r="S139" s="14" t="s">
        <v>395</v>
      </c>
      <c r="T139" s="14">
        <v>2418</v>
      </c>
    </row>
    <row r="140" spans="1:20">
      <c r="A140" s="2">
        <v>139</v>
      </c>
      <c r="B140" s="2" t="s">
        <v>399</v>
      </c>
      <c r="C140" s="2">
        <v>2025092</v>
      </c>
      <c r="D140" s="2" t="s">
        <v>406</v>
      </c>
      <c r="E140" s="2">
        <v>992</v>
      </c>
      <c r="S140" s="14" t="s">
        <v>396</v>
      </c>
      <c r="T140" s="14">
        <v>1706</v>
      </c>
    </row>
    <row r="141" spans="1:20">
      <c r="A141" s="2">
        <v>140</v>
      </c>
      <c r="B141" s="2" t="s">
        <v>400</v>
      </c>
      <c r="C141" s="2">
        <v>2025092</v>
      </c>
      <c r="D141" s="2" t="s">
        <v>407</v>
      </c>
      <c r="E141" s="2">
        <v>377</v>
      </c>
      <c r="S141" s="14" t="s">
        <v>397</v>
      </c>
      <c r="T141" s="14">
        <v>1230</v>
      </c>
    </row>
    <row r="142" spans="1:20">
      <c r="A142" s="2">
        <v>141</v>
      </c>
      <c r="B142" s="2" t="s">
        <v>401</v>
      </c>
      <c r="C142" s="2">
        <v>2025093</v>
      </c>
      <c r="D142" s="2" t="s">
        <v>406</v>
      </c>
      <c r="E142" s="2">
        <v>1076</v>
      </c>
      <c r="S142" s="14" t="s">
        <v>398</v>
      </c>
      <c r="T142" s="14">
        <v>990</v>
      </c>
    </row>
    <row r="143" spans="1:20">
      <c r="A143" s="2">
        <v>142</v>
      </c>
      <c r="B143" s="2" t="s">
        <v>402</v>
      </c>
      <c r="C143" s="2">
        <v>2025093</v>
      </c>
      <c r="D143" s="2" t="s">
        <v>407</v>
      </c>
      <c r="E143" s="2">
        <v>803</v>
      </c>
      <c r="S143" s="14" t="s">
        <v>399</v>
      </c>
      <c r="T143" s="14">
        <v>992</v>
      </c>
    </row>
    <row r="144" spans="1:20">
      <c r="A144" s="2">
        <v>143</v>
      </c>
      <c r="B144" s="2" t="s">
        <v>403</v>
      </c>
      <c r="C144" s="2">
        <v>2025009</v>
      </c>
      <c r="D144" s="2" t="s">
        <v>406</v>
      </c>
      <c r="E144" s="2">
        <v>1377</v>
      </c>
      <c r="S144" s="14" t="s">
        <v>400</v>
      </c>
      <c r="T144" s="14">
        <v>377</v>
      </c>
    </row>
    <row r="145" spans="1:20">
      <c r="A145" s="2">
        <v>144</v>
      </c>
      <c r="B145" s="2" t="s">
        <v>404</v>
      </c>
      <c r="C145" s="2">
        <v>2025009</v>
      </c>
      <c r="D145" s="2" t="s">
        <v>407</v>
      </c>
      <c r="E145" s="2">
        <v>1864</v>
      </c>
      <c r="S145" s="14" t="s">
        <v>401</v>
      </c>
      <c r="T145" s="14">
        <v>1076</v>
      </c>
    </row>
    <row r="146" spans="1:20">
      <c r="A146" s="2">
        <v>145</v>
      </c>
      <c r="C146" s="7">
        <v>2025032</v>
      </c>
      <c r="D146" s="7" t="s">
        <v>406</v>
      </c>
      <c r="E146" s="7">
        <v>0</v>
      </c>
      <c r="S146" s="14" t="s">
        <v>402</v>
      </c>
      <c r="T146" s="14">
        <v>803</v>
      </c>
    </row>
    <row r="147" spans="1:20">
      <c r="A147" s="2">
        <v>146</v>
      </c>
      <c r="C147" s="7">
        <v>2025032</v>
      </c>
      <c r="D147" s="7" t="s">
        <v>407</v>
      </c>
      <c r="E147" s="7">
        <v>0</v>
      </c>
      <c r="S147" s="14" t="s">
        <v>403</v>
      </c>
      <c r="T147" s="14">
        <v>1377</v>
      </c>
    </row>
    <row r="148" spans="1:20">
      <c r="A148" s="2">
        <v>147</v>
      </c>
      <c r="C148" s="7">
        <v>2025033</v>
      </c>
      <c r="D148" s="7" t="s">
        <v>406</v>
      </c>
      <c r="E148" s="7">
        <v>0</v>
      </c>
      <c r="S148" s="14" t="s">
        <v>404</v>
      </c>
      <c r="T148" s="14">
        <v>1864</v>
      </c>
    </row>
    <row r="149" spans="1:20">
      <c r="A149" s="2">
        <v>148</v>
      </c>
      <c r="C149" s="7">
        <v>2025033</v>
      </c>
      <c r="D149" s="7" t="s">
        <v>407</v>
      </c>
      <c r="E149" s="7">
        <v>0</v>
      </c>
    </row>
    <row r="150" spans="1:20">
      <c r="A150" s="2">
        <v>149</v>
      </c>
      <c r="C150" s="7">
        <v>2025001</v>
      </c>
      <c r="D150" s="7" t="s">
        <v>406</v>
      </c>
      <c r="E150" s="7">
        <v>0</v>
      </c>
      <c r="F150" s="2" t="s">
        <v>419</v>
      </c>
    </row>
    <row r="151" spans="1:20">
      <c r="A151" s="2">
        <v>150</v>
      </c>
      <c r="C151" s="7">
        <v>2025001</v>
      </c>
      <c r="D151" s="7" t="s">
        <v>407</v>
      </c>
      <c r="E151" s="7">
        <v>0</v>
      </c>
      <c r="F151" s="2" t="s">
        <v>419</v>
      </c>
    </row>
    <row r="152" spans="1:20">
      <c r="A152" s="2">
        <v>151</v>
      </c>
      <c r="C152" s="7">
        <v>2025002</v>
      </c>
      <c r="D152" s="7" t="s">
        <v>406</v>
      </c>
      <c r="E152" s="7">
        <v>0</v>
      </c>
      <c r="F152" s="2" t="s">
        <v>419</v>
      </c>
    </row>
    <row r="153" spans="1:20">
      <c r="A153" s="2">
        <v>152</v>
      </c>
      <c r="C153" s="7">
        <v>2025002</v>
      </c>
      <c r="D153" s="7" t="s">
        <v>407</v>
      </c>
      <c r="E153" s="7">
        <v>0</v>
      </c>
      <c r="F153" s="2" t="s">
        <v>419</v>
      </c>
    </row>
    <row r="154" spans="1:20">
      <c r="A154" s="2">
        <v>153</v>
      </c>
      <c r="C154" s="7">
        <v>2025020</v>
      </c>
      <c r="D154" s="7" t="s">
        <v>406</v>
      </c>
      <c r="E154" s="7">
        <v>0</v>
      </c>
      <c r="F154" s="2" t="s">
        <v>419</v>
      </c>
    </row>
    <row r="155" spans="1:20">
      <c r="A155" s="2">
        <v>154</v>
      </c>
      <c r="C155" s="7">
        <v>2025020</v>
      </c>
      <c r="D155" s="7" t="s">
        <v>407</v>
      </c>
      <c r="E155" s="7">
        <v>0</v>
      </c>
      <c r="F155" s="2" t="s">
        <v>419</v>
      </c>
    </row>
    <row r="156" spans="1:20">
      <c r="A156" s="2">
        <v>155</v>
      </c>
      <c r="C156" s="7">
        <v>2025039</v>
      </c>
      <c r="D156" s="7" t="s">
        <v>406</v>
      </c>
      <c r="E156" s="7">
        <v>0</v>
      </c>
      <c r="F156" s="2" t="s">
        <v>419</v>
      </c>
    </row>
    <row r="157" spans="1:20">
      <c r="A157" s="2">
        <v>156</v>
      </c>
      <c r="C157" s="7">
        <v>2025039</v>
      </c>
      <c r="D157" s="7" t="s">
        <v>407</v>
      </c>
      <c r="E157" s="7">
        <v>0</v>
      </c>
      <c r="F157" s="2" t="s">
        <v>419</v>
      </c>
    </row>
  </sheetData>
  <autoFilter ref="A1:F1" xr:uid="{60289AD6-9204-4C5F-9F5B-57B3483DE391}"/>
  <sortState xmlns:xlrd2="http://schemas.microsoft.com/office/spreadsheetml/2017/richdata2" ref="A2:F148">
    <sortCondition ref="A2:A1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cover</vt:lpstr>
      <vt:lpstr>seagrass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de Fouw</dc:creator>
  <cp:lastModifiedBy>Jim de Fouw</cp:lastModifiedBy>
  <dcterms:created xsi:type="dcterms:W3CDTF">2025-07-14T19:12:03Z</dcterms:created>
  <dcterms:modified xsi:type="dcterms:W3CDTF">2025-09-03T14:40:21Z</dcterms:modified>
</cp:coreProperties>
</file>